
<file path=[Content_Types].xml><?xml version="1.0" encoding="utf-8"?>
<Types xmlns="http://schemas.openxmlformats.org/package/2006/content-types">
  <Default Extension="wmf" ContentType="image/x-w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000"/>
  </bookViews>
  <sheets>
    <sheet name="GDP" sheetId="1" r:id="rId1"/>
    <sheet name="资本存量" sheetId="2" r:id="rId2"/>
    <sheet name="就业人口" sheetId="3" r:id="rId3"/>
    <sheet name="能源消耗量" sheetId="4" r:id="rId4"/>
    <sheet name="CO2排放量" sheetId="5" r:id="rId5"/>
    <sheet name="用于回归的形式" sheetId="6" r:id="rId6"/>
    <sheet name="线性规划法进行测算" sheetId="7" r:id="rId7"/>
    <sheet name="用于回归的形式 (2)" sheetId="8" r:id="rId8"/>
    <sheet name="Sheet1" sheetId="9" r:id="rId9"/>
    <sheet name="用于回归的形式 (3)" sheetId="10" r:id="rId10"/>
  </sheets>
  <definedNames>
    <definedName name="solver_eng" localSheetId="5" hidden="1">1</definedName>
    <definedName name="solver_eng" localSheetId="7" hidden="1">1</definedName>
    <definedName name="solver_eng" localSheetId="9" hidden="1">1</definedName>
    <definedName name="solver_neg" localSheetId="5" hidden="1">1</definedName>
    <definedName name="solver_neg" localSheetId="7" hidden="1">1</definedName>
    <definedName name="solver_neg" localSheetId="9" hidden="1">1</definedName>
    <definedName name="solver_num" localSheetId="5" hidden="1">0</definedName>
    <definedName name="solver_num" localSheetId="7" hidden="1">0</definedName>
    <definedName name="solver_num" localSheetId="9" hidden="1">0</definedName>
    <definedName name="solver_opt" localSheetId="5" hidden="1">用于回归的形式!$Q$1</definedName>
    <definedName name="solver_opt" localSheetId="7" hidden="1">'用于回归的形式 (2)'!$Q$1</definedName>
    <definedName name="solver_opt" localSheetId="9" hidden="1">'用于回归的形式 (3)'!$Q$1</definedName>
    <definedName name="solver_typ" localSheetId="5" hidden="1">1</definedName>
    <definedName name="solver_typ" localSheetId="7" hidden="1">1</definedName>
    <definedName name="solver_typ" localSheetId="9" hidden="1">1</definedName>
    <definedName name="solver_val" localSheetId="5" hidden="1">0</definedName>
    <definedName name="solver_val" localSheetId="7" hidden="1">0</definedName>
    <definedName name="solver_val" localSheetId="9" hidden="1">0</definedName>
    <definedName name="solver_ver" localSheetId="5" hidden="1">3</definedName>
    <definedName name="solver_ver" localSheetId="7" hidden="1">3</definedName>
    <definedName name="solver_ver" localSheetId="9" hidden="1">3</definedName>
  </definedNames>
  <calcPr calcId="144525"/>
</workbook>
</file>

<file path=xl/sharedStrings.xml><?xml version="1.0" encoding="utf-8"?>
<sst xmlns="http://schemas.openxmlformats.org/spreadsheetml/2006/main" count="410" uniqueCount="132">
  <si>
    <t>上海</t>
  </si>
  <si>
    <t>江苏</t>
  </si>
  <si>
    <t>浙江</t>
  </si>
  <si>
    <t>安徽</t>
  </si>
  <si>
    <t>内蒙古</t>
  </si>
  <si>
    <t>甘肃</t>
  </si>
  <si>
    <t>宁夏</t>
  </si>
  <si>
    <t>新疆</t>
  </si>
  <si>
    <t>单位：亿元</t>
  </si>
  <si>
    <t>单位：万人</t>
  </si>
  <si>
    <t>单位：万吨标准煤</t>
  </si>
  <si>
    <t>单位：百万吨</t>
  </si>
  <si>
    <t>-b1</t>
  </si>
  <si>
    <t>x1</t>
  </si>
  <si>
    <t>x2</t>
  </si>
  <si>
    <t>x3</t>
  </si>
  <si>
    <t>y1+b1</t>
  </si>
  <si>
    <t>x1*x1</t>
  </si>
  <si>
    <t>x2*x2</t>
  </si>
  <si>
    <t>x3*x3</t>
  </si>
  <si>
    <t>x1*x2</t>
  </si>
  <si>
    <t>x1*x3</t>
  </si>
  <si>
    <t>x2*x3</t>
  </si>
  <si>
    <t>(y1+b1)^2</t>
  </si>
  <si>
    <t>x1*(y1+b1)</t>
  </si>
  <si>
    <t>x2*(y1+b1)</t>
  </si>
  <si>
    <t>x3*(y1+b1)</t>
  </si>
  <si>
    <t>id</t>
  </si>
  <si>
    <t>time</t>
  </si>
  <si>
    <t>y1</t>
  </si>
  <si>
    <t>𝛾1</t>
  </si>
  <si>
    <t>影子价格</t>
  </si>
  <si>
    <t>上海2011</t>
  </si>
  <si>
    <t>上海2012</t>
  </si>
  <si>
    <t>𝛾11</t>
  </si>
  <si>
    <t>上海2013</t>
  </si>
  <si>
    <t>上海2014</t>
  </si>
  <si>
    <t>μ11</t>
  </si>
  <si>
    <t>上海2015</t>
  </si>
  <si>
    <t>上海2016</t>
  </si>
  <si>
    <t>η11</t>
  </si>
  <si>
    <t>上海2017</t>
  </si>
  <si>
    <t>上海2018</t>
  </si>
  <si>
    <t>η21</t>
  </si>
  <si>
    <t>上海2019</t>
  </si>
  <si>
    <t>上海2020</t>
  </si>
  <si>
    <t>η31</t>
  </si>
  <si>
    <t>江苏2011</t>
  </si>
  <si>
    <t>江苏2012</t>
  </si>
  <si>
    <t>β1</t>
  </si>
  <si>
    <t>江苏2013</t>
  </si>
  <si>
    <t>江苏2014</t>
  </si>
  <si>
    <t>β11</t>
  </si>
  <si>
    <t>江苏2015</t>
  </si>
  <si>
    <t>江苏2016</t>
  </si>
  <si>
    <t>δ11</t>
  </si>
  <si>
    <t>江苏2017</t>
  </si>
  <si>
    <t>江苏2018</t>
  </si>
  <si>
    <t>δ21</t>
  </si>
  <si>
    <t>江苏2019</t>
  </si>
  <si>
    <t>江苏2020</t>
  </si>
  <si>
    <t>δ31</t>
  </si>
  <si>
    <t>浙江2011</t>
  </si>
  <si>
    <t>浙江2012</t>
  </si>
  <si>
    <t>浙江2013</t>
  </si>
  <si>
    <t>浙江2014</t>
  </si>
  <si>
    <t>浙江2015</t>
  </si>
  <si>
    <t>浙江2016</t>
  </si>
  <si>
    <t>浙江2017</t>
  </si>
  <si>
    <t>浙江2018</t>
  </si>
  <si>
    <t>浙江2019</t>
  </si>
  <si>
    <t>浙江2020</t>
  </si>
  <si>
    <t>安徽2011</t>
  </si>
  <si>
    <t>安徽2012</t>
  </si>
  <si>
    <t>安徽2013</t>
  </si>
  <si>
    <t>安徽2014</t>
  </si>
  <si>
    <t>安徽2015</t>
  </si>
  <si>
    <t>安徽2016</t>
  </si>
  <si>
    <t>安徽2017</t>
  </si>
  <si>
    <t>安徽2018</t>
  </si>
  <si>
    <t>安徽2019</t>
  </si>
  <si>
    <t>安徽2020</t>
  </si>
  <si>
    <t>内蒙古2011</t>
  </si>
  <si>
    <t>内蒙古2012</t>
  </si>
  <si>
    <t>内蒙古2013</t>
  </si>
  <si>
    <t>内蒙古2014</t>
  </si>
  <si>
    <t>内蒙古2015</t>
  </si>
  <si>
    <t>内蒙古2016</t>
  </si>
  <si>
    <t>内蒙古2017</t>
  </si>
  <si>
    <t>内蒙古2018</t>
  </si>
  <si>
    <t>内蒙古2019</t>
  </si>
  <si>
    <t>内蒙古2020</t>
  </si>
  <si>
    <t>甘肃2011</t>
  </si>
  <si>
    <t>甘肃2012</t>
  </si>
  <si>
    <t>甘肃2013</t>
  </si>
  <si>
    <t>甘肃2014</t>
  </si>
  <si>
    <t>甘肃2015</t>
  </si>
  <si>
    <t>甘肃2016</t>
  </si>
  <si>
    <t>甘肃2017</t>
  </si>
  <si>
    <t>甘肃2018</t>
  </si>
  <si>
    <t>甘肃2019</t>
  </si>
  <si>
    <t>甘肃2020</t>
  </si>
  <si>
    <t>宁夏2011</t>
  </si>
  <si>
    <t>宁夏2012</t>
  </si>
  <si>
    <t>宁夏2013</t>
  </si>
  <si>
    <t>宁夏2014</t>
  </si>
  <si>
    <t>宁夏2015</t>
  </si>
  <si>
    <t>宁夏2016</t>
  </si>
  <si>
    <t>宁夏2017</t>
  </si>
  <si>
    <t>宁夏2018</t>
  </si>
  <si>
    <t>宁夏2019</t>
  </si>
  <si>
    <t>宁夏2020</t>
  </si>
  <si>
    <t>新疆2011</t>
  </si>
  <si>
    <t>新疆2012</t>
  </si>
  <si>
    <t>新疆2013</t>
  </si>
  <si>
    <t>新疆2014</t>
  </si>
  <si>
    <t>新疆2015</t>
  </si>
  <si>
    <t>新疆2016</t>
  </si>
  <si>
    <t>新疆2017</t>
  </si>
  <si>
    <t>新疆2018</t>
  </si>
  <si>
    <t>新疆2019</t>
  </si>
  <si>
    <t>新疆2020</t>
  </si>
  <si>
    <t>b1</t>
  </si>
  <si>
    <t>y1^2</t>
  </si>
  <si>
    <t>b1^2</t>
  </si>
  <si>
    <t>x1*y1</t>
  </si>
  <si>
    <t>x2*y1</t>
  </si>
  <si>
    <t>x3*y1</t>
  </si>
  <si>
    <t>x1*b1</t>
  </si>
  <si>
    <t>x2*b1</t>
  </si>
  <si>
    <t>x3*b1</t>
  </si>
  <si>
    <t>y1*b1</t>
  </si>
</sst>
</file>

<file path=xl/styles.xml><?xml version="1.0" encoding="utf-8"?>
<styleSheet xmlns="http://schemas.openxmlformats.org/spreadsheetml/2006/main" xmlns:xr9="http://schemas.microsoft.com/office/spreadsheetml/2016/revision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0_ "/>
    <numFmt numFmtId="178" formatCode="0.000000_ "/>
    <numFmt numFmtId="179" formatCode="0.0_ "/>
    <numFmt numFmtId="180" formatCode="yyyy"/>
    <numFmt numFmtId="181" formatCode="0.00_ "/>
  </numFmts>
  <fonts count="25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sz val="11"/>
      <color theme="1"/>
      <name val="等线"/>
      <charset val="134"/>
      <scheme val="minor"/>
    </font>
    <font>
      <b/>
      <sz val="12"/>
      <color theme="1"/>
      <name val="Calibri"/>
      <charset val="134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7">
    <xf numFmtId="0" fontId="0" fillId="0" borderId="0" xfId="0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0" fontId="1" fillId="0" borderId="0" xfId="0" applyFont="1"/>
    <xf numFmtId="11" fontId="0" fillId="0" borderId="0" xfId="0" applyNumberFormat="1"/>
    <xf numFmtId="179" fontId="0" fillId="0" borderId="0" xfId="0" applyNumberFormat="1"/>
    <xf numFmtId="180" fontId="0" fillId="0" borderId="0" xfId="0" applyNumberFormat="1"/>
    <xf numFmtId="0" fontId="0" fillId="2" borderId="0" xfId="0" applyFill="1"/>
    <xf numFmtId="0" fontId="2" fillId="0" borderId="0" xfId="0" applyFont="1"/>
    <xf numFmtId="43" fontId="3" fillId="0" borderId="0" xfId="1" applyFont="1" applyAlignment="1">
      <alignment vertical="center"/>
    </xf>
    <xf numFmtId="43" fontId="2" fillId="0" borderId="0" xfId="0" applyNumberFormat="1" applyFont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181" fontId="4" fillId="0" borderId="0" xfId="0" applyNumberFormat="1" applyFont="1" applyAlignment="1">
      <alignment horizontal="right"/>
    </xf>
    <xf numFmtId="181" fontId="0" fillId="0" borderId="0" xfId="0" applyNumberFormat="1" applyAlignment="1">
      <alignment horizontal="right"/>
    </xf>
    <xf numFmtId="181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26</xdr:col>
      <xdr:colOff>190500</xdr:colOff>
      <xdr:row>0</xdr:row>
      <xdr:rowOff>160220</xdr:rowOff>
    </xdr:from>
    <xdr:to>
      <xdr:col>40</xdr:col>
      <xdr:colOff>307358</xdr:colOff>
      <xdr:row>31</xdr:row>
      <xdr:rowOff>157167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456380" y="160020"/>
          <a:ext cx="9478010" cy="55086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24</xdr:col>
      <xdr:colOff>167640</xdr:colOff>
      <xdr:row>0</xdr:row>
      <xdr:rowOff>100132</xdr:rowOff>
    </xdr:from>
    <xdr:to>
      <xdr:col>32</xdr:col>
      <xdr:colOff>71501</xdr:colOff>
      <xdr:row>24</xdr:row>
      <xdr:rowOff>12559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807410" y="99695"/>
          <a:ext cx="5252720" cy="41795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20</xdr:col>
      <xdr:colOff>275988</xdr:colOff>
      <xdr:row>2</xdr:row>
      <xdr:rowOff>30480</xdr:rowOff>
    </xdr:from>
    <xdr:to>
      <xdr:col>35</xdr:col>
      <xdr:colOff>240446</xdr:colOff>
      <xdr:row>35</xdr:row>
      <xdr:rowOff>35248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571595" y="386080"/>
          <a:ext cx="10251440" cy="587184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26</xdr:col>
      <xdr:colOff>548640</xdr:colOff>
      <xdr:row>8</xdr:row>
      <xdr:rowOff>39172</xdr:rowOff>
    </xdr:from>
    <xdr:to>
      <xdr:col>34</xdr:col>
      <xdr:colOff>452501</xdr:colOff>
      <xdr:row>31</xdr:row>
      <xdr:rowOff>126859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1703010" y="1461135"/>
          <a:ext cx="5252720" cy="41770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4"/>
  <sheetViews>
    <sheetView tabSelected="1" zoomScale="85" zoomScaleNormal="85" workbookViewId="0">
      <selection activeCell="I2" sqref="I2:I11"/>
    </sheetView>
  </sheetViews>
  <sheetFormatPr defaultColWidth="8.775" defaultRowHeight="14"/>
  <cols>
    <col min="2" max="2" width="18.1083333333333" customWidth="1"/>
    <col min="3" max="3" width="16.1083333333333" customWidth="1"/>
    <col min="4" max="5" width="18.4416666666667" customWidth="1"/>
    <col min="6" max="6" width="13.775" customWidth="1"/>
    <col min="7" max="7" width="16.4416666666667" customWidth="1"/>
    <col min="8" max="8" width="15.4416666666667" customWidth="1"/>
    <col min="9" max="9" width="13.4416666666667" customWidth="1"/>
    <col min="11" max="11" width="10.775" customWidth="1"/>
  </cols>
  <sheetData>
    <row r="1" spans="2:11"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K1" s="13" t="s">
        <v>8</v>
      </c>
    </row>
    <row r="2" spans="1:9">
      <c r="A2" s="7">
        <v>40908</v>
      </c>
      <c r="B2" s="14">
        <v>19195.69</v>
      </c>
      <c r="C2" s="15">
        <v>49110.27</v>
      </c>
      <c r="D2" s="15">
        <v>32318.85</v>
      </c>
      <c r="E2" s="15">
        <v>15300.65</v>
      </c>
      <c r="F2" s="15">
        <v>14359.88</v>
      </c>
      <c r="G2" s="15">
        <v>5020.37</v>
      </c>
      <c r="H2" s="15">
        <v>2102.21</v>
      </c>
      <c r="I2" s="15">
        <v>6610.05</v>
      </c>
    </row>
    <row r="3" spans="1:9">
      <c r="A3" s="7">
        <v>41274</v>
      </c>
      <c r="B3" s="14">
        <v>20181.72</v>
      </c>
      <c r="C3" s="15">
        <v>54058.22</v>
      </c>
      <c r="D3" s="15">
        <v>34665.33</v>
      </c>
      <c r="E3" s="15">
        <v>17212.050615</v>
      </c>
      <c r="F3" s="15">
        <v>15880.578844</v>
      </c>
      <c r="G3" s="15">
        <v>5650.203959</v>
      </c>
      <c r="H3" s="15">
        <v>2341.29</v>
      </c>
      <c r="I3" s="15">
        <v>7505.31</v>
      </c>
    </row>
    <row r="4" spans="1:9">
      <c r="A4" s="7">
        <v>41639</v>
      </c>
      <c r="B4" s="14">
        <v>21818.15</v>
      </c>
      <c r="C4" s="15">
        <v>59753.37</v>
      </c>
      <c r="D4" s="15">
        <v>37756.58</v>
      </c>
      <c r="E4" s="15">
        <v>19229.3371</v>
      </c>
      <c r="F4" s="15">
        <v>16916.502942</v>
      </c>
      <c r="G4" s="15">
        <v>6330.692315</v>
      </c>
      <c r="H4" s="15">
        <v>2577.57</v>
      </c>
      <c r="I4" s="15">
        <v>8443.84</v>
      </c>
    </row>
    <row r="5" spans="1:9">
      <c r="A5" s="7">
        <v>42004</v>
      </c>
      <c r="B5" s="14">
        <v>23567.695348</v>
      </c>
      <c r="C5" s="15">
        <v>65088.32</v>
      </c>
      <c r="D5" s="15">
        <v>40173.03</v>
      </c>
      <c r="E5" s="15">
        <v>20848.747601</v>
      </c>
      <c r="F5" s="15">
        <v>17770.188819</v>
      </c>
      <c r="G5" s="15">
        <v>6836.820788</v>
      </c>
      <c r="H5" s="15">
        <v>2752.1</v>
      </c>
      <c r="I5" s="15">
        <v>9273.46</v>
      </c>
    </row>
    <row r="6" spans="1:9">
      <c r="A6" s="7">
        <v>42369</v>
      </c>
      <c r="B6" s="14">
        <v>25123.45</v>
      </c>
      <c r="C6" s="15">
        <v>70116.38</v>
      </c>
      <c r="D6" s="15">
        <v>42886.49</v>
      </c>
      <c r="E6" s="15">
        <v>22005.63</v>
      </c>
      <c r="F6" s="15">
        <v>17831.508783</v>
      </c>
      <c r="G6" s="15">
        <v>6790.316898</v>
      </c>
      <c r="H6" s="15">
        <v>2911.77</v>
      </c>
      <c r="I6" s="15">
        <v>9324.8</v>
      </c>
    </row>
    <row r="7" spans="1:9">
      <c r="A7" s="7">
        <v>42735</v>
      </c>
      <c r="B7" s="14">
        <v>28178.65</v>
      </c>
      <c r="C7" s="15">
        <v>77388.28</v>
      </c>
      <c r="D7" s="15">
        <v>47251.36</v>
      </c>
      <c r="E7" s="15">
        <v>24407.62</v>
      </c>
      <c r="F7" s="15">
        <v>18128.1</v>
      </c>
      <c r="G7" s="15">
        <v>7200.37</v>
      </c>
      <c r="H7" s="15">
        <v>3168.59</v>
      </c>
      <c r="I7" s="15">
        <v>9649.7</v>
      </c>
    </row>
    <row r="8" spans="1:9">
      <c r="A8" s="7">
        <v>43100</v>
      </c>
      <c r="B8" s="14">
        <v>30632.99</v>
      </c>
      <c r="C8" s="15">
        <v>85869.76</v>
      </c>
      <c r="D8" s="15">
        <v>51768.26</v>
      </c>
      <c r="E8" s="15">
        <v>27018</v>
      </c>
      <c r="F8" s="15">
        <v>16096.21</v>
      </c>
      <c r="G8" s="15">
        <v>7459.899529</v>
      </c>
      <c r="H8" s="15">
        <v>3443.56</v>
      </c>
      <c r="I8" s="15">
        <v>10881.96</v>
      </c>
    </row>
    <row r="9" spans="1:9">
      <c r="A9" s="7">
        <v>43465</v>
      </c>
      <c r="B9" s="14">
        <v>36011.82</v>
      </c>
      <c r="C9" s="15">
        <v>93207.55</v>
      </c>
      <c r="D9" s="15">
        <v>58003</v>
      </c>
      <c r="E9" s="15">
        <v>34010.9</v>
      </c>
      <c r="F9" s="15">
        <v>16140.8</v>
      </c>
      <c r="G9" s="15">
        <v>8104.07</v>
      </c>
      <c r="H9" s="15">
        <v>3510.21</v>
      </c>
      <c r="I9" s="15">
        <v>12809.39</v>
      </c>
    </row>
    <row r="10" spans="1:9">
      <c r="A10" s="7">
        <v>43830</v>
      </c>
      <c r="B10" s="14">
        <v>38155.32</v>
      </c>
      <c r="C10" s="15">
        <v>99631.52</v>
      </c>
      <c r="D10" s="15">
        <v>62351.74</v>
      </c>
      <c r="E10" s="15">
        <v>37113.98</v>
      </c>
      <c r="F10" s="15">
        <v>17212.53</v>
      </c>
      <c r="G10" s="15">
        <v>8718.3</v>
      </c>
      <c r="H10" s="15">
        <v>3748.48</v>
      </c>
      <c r="I10" s="15">
        <v>13597.11</v>
      </c>
    </row>
    <row r="11" spans="1:9">
      <c r="A11" s="7">
        <v>44196</v>
      </c>
      <c r="B11" s="15">
        <v>38700.58</v>
      </c>
      <c r="C11" s="15">
        <v>102718.98</v>
      </c>
      <c r="D11" s="15">
        <v>64613.34</v>
      </c>
      <c r="E11" s="15">
        <v>38680.63</v>
      </c>
      <c r="F11" s="15">
        <v>17359.82</v>
      </c>
      <c r="G11" s="15">
        <v>9016.7</v>
      </c>
      <c r="H11" s="15">
        <v>3920.55</v>
      </c>
      <c r="I11" s="15">
        <v>13797.58</v>
      </c>
    </row>
    <row r="13" spans="2:9">
      <c r="B13" s="16">
        <f>AVERAGE(B2:I11)</f>
        <v>26716.4704192625</v>
      </c>
      <c r="C13" s="16"/>
      <c r="D13" s="16"/>
      <c r="E13" s="16"/>
      <c r="F13" s="16"/>
      <c r="G13" s="16"/>
      <c r="H13" s="16"/>
      <c r="I13" s="16"/>
    </row>
    <row r="15" spans="2:11">
      <c r="B15">
        <f>B2/$B$13</f>
        <v>0.718496481711894</v>
      </c>
      <c r="C15">
        <f t="shared" ref="C15:I15" si="0">C2/$B$13</f>
        <v>1.838202024044</v>
      </c>
      <c r="D15">
        <f t="shared" si="0"/>
        <v>1.20969759451077</v>
      </c>
      <c r="E15">
        <f t="shared" si="0"/>
        <v>0.57270476825293</v>
      </c>
      <c r="F15">
        <f t="shared" si="0"/>
        <v>0.53749165869031</v>
      </c>
      <c r="G15">
        <f t="shared" si="0"/>
        <v>0.187912921176157</v>
      </c>
      <c r="H15">
        <f t="shared" si="0"/>
        <v>0.0786859179753143</v>
      </c>
      <c r="I15">
        <f t="shared" si="0"/>
        <v>0.247414793057176</v>
      </c>
      <c r="K15" s="14">
        <v>19195.69</v>
      </c>
    </row>
    <row r="16" spans="2:11">
      <c r="B16">
        <f t="shared" ref="B16:I16" si="1">B3/$B$13</f>
        <v>0.755403677330409</v>
      </c>
      <c r="C16">
        <f t="shared" si="1"/>
        <v>2.02340425781035</v>
      </c>
      <c r="D16">
        <f t="shared" si="1"/>
        <v>1.29752656155532</v>
      </c>
      <c r="E16">
        <f t="shared" si="1"/>
        <v>0.644248673005479</v>
      </c>
      <c r="F16">
        <f t="shared" si="1"/>
        <v>0.594411559415803</v>
      </c>
      <c r="G16">
        <f t="shared" si="1"/>
        <v>0.211487665486165</v>
      </c>
      <c r="H16">
        <f t="shared" si="1"/>
        <v>0.0876347048565194</v>
      </c>
      <c r="I16">
        <f t="shared" si="1"/>
        <v>0.280924459040394</v>
      </c>
      <c r="K16" s="14">
        <v>20181.72</v>
      </c>
    </row>
    <row r="17" spans="2:11">
      <c r="B17">
        <f t="shared" ref="B17:I17" si="2">B4/$B$13</f>
        <v>0.816655406107431</v>
      </c>
      <c r="C17">
        <f t="shared" si="2"/>
        <v>2.23657425783752</v>
      </c>
      <c r="D17">
        <f t="shared" si="2"/>
        <v>1.41323233973218</v>
      </c>
      <c r="E17">
        <f t="shared" si="2"/>
        <v>0.719755895828803</v>
      </c>
      <c r="F17">
        <f t="shared" si="2"/>
        <v>0.633186295814107</v>
      </c>
      <c r="G17">
        <f t="shared" si="2"/>
        <v>0.236958408639024</v>
      </c>
      <c r="H17">
        <f t="shared" si="2"/>
        <v>0.0964786874744345</v>
      </c>
      <c r="I17">
        <f t="shared" si="2"/>
        <v>0.316053725192382</v>
      </c>
      <c r="K17" s="14">
        <v>21818.15</v>
      </c>
    </row>
    <row r="18" spans="2:11">
      <c r="B18">
        <f t="shared" ref="B18:I18" si="3">B5/$B$13</f>
        <v>0.882141052996572</v>
      </c>
      <c r="C18">
        <f t="shared" si="3"/>
        <v>2.4362619379943</v>
      </c>
      <c r="D18">
        <f t="shared" si="3"/>
        <v>1.50368029045616</v>
      </c>
      <c r="E18">
        <f t="shared" si="3"/>
        <v>0.780370583157875</v>
      </c>
      <c r="F18">
        <f t="shared" si="3"/>
        <v>0.665139838464131</v>
      </c>
      <c r="G18">
        <f t="shared" si="3"/>
        <v>0.25590284497576</v>
      </c>
      <c r="H18">
        <f t="shared" si="3"/>
        <v>0.103011361785865</v>
      </c>
      <c r="I18">
        <f t="shared" si="3"/>
        <v>0.34710647980333</v>
      </c>
      <c r="K18" s="14">
        <v>23567.695348</v>
      </c>
    </row>
    <row r="19" spans="2:11">
      <c r="B19">
        <f t="shared" ref="B19:I19" si="4">B6/$B$13</f>
        <v>0.940373095911878</v>
      </c>
      <c r="C19">
        <f t="shared" si="4"/>
        <v>2.62446269659357</v>
      </c>
      <c r="D19">
        <f t="shared" si="4"/>
        <v>1.60524535340862</v>
      </c>
      <c r="E19">
        <f t="shared" si="4"/>
        <v>0.823672800136578</v>
      </c>
      <c r="F19">
        <f t="shared" si="4"/>
        <v>0.667435050482699</v>
      </c>
      <c r="G19">
        <f t="shared" si="4"/>
        <v>0.254162200000199</v>
      </c>
      <c r="H19">
        <f t="shared" si="4"/>
        <v>0.108987824899977</v>
      </c>
      <c r="I19">
        <f t="shared" si="4"/>
        <v>0.34902814083094</v>
      </c>
      <c r="K19" s="14">
        <v>25123.45</v>
      </c>
    </row>
    <row r="20" spans="2:11">
      <c r="B20">
        <f t="shared" ref="B20:I20" si="5">B7/$B$13</f>
        <v>1.05472951919889</v>
      </c>
      <c r="C20">
        <f t="shared" si="5"/>
        <v>2.89665059738592</v>
      </c>
      <c r="D20">
        <f t="shared" si="5"/>
        <v>1.76862284794671</v>
      </c>
      <c r="E20">
        <f t="shared" si="5"/>
        <v>0.913579511700848</v>
      </c>
      <c r="F20">
        <f t="shared" si="5"/>
        <v>0.678536487624117</v>
      </c>
      <c r="G20">
        <f t="shared" si="5"/>
        <v>0.269510526166232</v>
      </c>
      <c r="H20">
        <f t="shared" si="5"/>
        <v>0.118600621649312</v>
      </c>
      <c r="I20">
        <f t="shared" si="5"/>
        <v>0.361189178381984</v>
      </c>
      <c r="K20" s="14">
        <v>28178.65</v>
      </c>
    </row>
    <row r="21" spans="2:11">
      <c r="B21">
        <f t="shared" ref="B21:I21" si="6">B8/$B$13</f>
        <v>1.14659569618574</v>
      </c>
      <c r="C21">
        <f t="shared" si="6"/>
        <v>3.21411319131767</v>
      </c>
      <c r="D21">
        <f t="shared" si="6"/>
        <v>1.9376908396805</v>
      </c>
      <c r="E21">
        <f t="shared" si="6"/>
        <v>1.01128628056048</v>
      </c>
      <c r="F21">
        <f t="shared" si="6"/>
        <v>0.602482653861143</v>
      </c>
      <c r="G21">
        <f t="shared" si="6"/>
        <v>0.27922474084082</v>
      </c>
      <c r="H21">
        <f t="shared" si="6"/>
        <v>0.128892774605331</v>
      </c>
      <c r="I21">
        <f t="shared" si="6"/>
        <v>0.407312786054034</v>
      </c>
      <c r="K21" s="14">
        <v>30632.99</v>
      </c>
    </row>
    <row r="22" spans="2:11">
      <c r="B22">
        <f t="shared" ref="B22:I22" si="7">B9/$B$13</f>
        <v>1.34792580886866</v>
      </c>
      <c r="C22">
        <f t="shared" si="7"/>
        <v>3.4887673610058</v>
      </c>
      <c r="D22">
        <f t="shared" si="7"/>
        <v>2.17105774414647</v>
      </c>
      <c r="E22">
        <f t="shared" si="7"/>
        <v>1.27303118511786</v>
      </c>
      <c r="F22">
        <f t="shared" si="7"/>
        <v>0.604151661754036</v>
      </c>
      <c r="G22">
        <f t="shared" si="7"/>
        <v>0.30333610214308</v>
      </c>
      <c r="H22">
        <f t="shared" si="7"/>
        <v>0.131387490372574</v>
      </c>
      <c r="I22">
        <f t="shared" si="7"/>
        <v>0.47945667219441</v>
      </c>
      <c r="K22" s="14">
        <v>36011.82</v>
      </c>
    </row>
    <row r="23" spans="2:11">
      <c r="B23">
        <f t="shared" ref="B23:I23" si="8">B10/$B$13</f>
        <v>1.42815721542656</v>
      </c>
      <c r="C23">
        <f t="shared" si="8"/>
        <v>3.72921716216548</v>
      </c>
      <c r="D23">
        <f t="shared" si="8"/>
        <v>2.33383149126782</v>
      </c>
      <c r="E23">
        <f t="shared" si="8"/>
        <v>1.38917976130713</v>
      </c>
      <c r="F23">
        <f t="shared" si="8"/>
        <v>0.644266616431106</v>
      </c>
      <c r="G23">
        <f t="shared" si="8"/>
        <v>0.326326788800445</v>
      </c>
      <c r="H23">
        <f t="shared" si="8"/>
        <v>0.140305958877613</v>
      </c>
      <c r="I23">
        <f t="shared" si="8"/>
        <v>0.508941105865411</v>
      </c>
      <c r="K23" s="14">
        <v>38155.32</v>
      </c>
    </row>
    <row r="24" spans="2:11">
      <c r="B24">
        <f t="shared" ref="B24:I24" si="9">B11/$B$13</f>
        <v>1.44856634849853</v>
      </c>
      <c r="C24">
        <f t="shared" si="9"/>
        <v>3.84478108028596</v>
      </c>
      <c r="D24">
        <f t="shared" si="9"/>
        <v>2.41848339193092</v>
      </c>
      <c r="E24">
        <f t="shared" si="9"/>
        <v>1.44781961812259</v>
      </c>
      <c r="F24">
        <f t="shared" si="9"/>
        <v>0.649779694981101</v>
      </c>
      <c r="G24">
        <f t="shared" si="9"/>
        <v>0.337495928859636</v>
      </c>
      <c r="H24">
        <f t="shared" si="9"/>
        <v>0.146746555157724</v>
      </c>
      <c r="I24">
        <f t="shared" si="9"/>
        <v>0.516444716816035</v>
      </c>
      <c r="K24" s="15">
        <v>38700.58</v>
      </c>
    </row>
    <row r="25" spans="11:11">
      <c r="K25" s="15">
        <v>49110.27</v>
      </c>
    </row>
    <row r="26" spans="11:11">
      <c r="K26" s="15">
        <v>54058.22</v>
      </c>
    </row>
    <row r="27" spans="11:11">
      <c r="K27" s="15">
        <v>59753.37</v>
      </c>
    </row>
    <row r="28" spans="11:11">
      <c r="K28" s="15">
        <v>65088.32</v>
      </c>
    </row>
    <row r="29" spans="11:11">
      <c r="K29" s="15">
        <v>70116.38</v>
      </c>
    </row>
    <row r="30" spans="11:11">
      <c r="K30" s="15">
        <v>77388.28</v>
      </c>
    </row>
    <row r="31" spans="11:11">
      <c r="K31" s="15">
        <v>85869.76</v>
      </c>
    </row>
    <row r="32" spans="11:11">
      <c r="K32" s="15">
        <v>93207.55</v>
      </c>
    </row>
    <row r="33" spans="11:11">
      <c r="K33" s="15">
        <v>99631.52</v>
      </c>
    </row>
    <row r="34" spans="11:11">
      <c r="K34" s="15">
        <v>102718.98</v>
      </c>
    </row>
    <row r="35" spans="11:11">
      <c r="K35" s="15">
        <v>32318.85</v>
      </c>
    </row>
    <row r="36" spans="11:11">
      <c r="K36" s="15">
        <v>34665.33</v>
      </c>
    </row>
    <row r="37" spans="11:11">
      <c r="K37" s="15">
        <v>37756.58</v>
      </c>
    </row>
    <row r="38" spans="11:11">
      <c r="K38" s="15">
        <v>40173.03</v>
      </c>
    </row>
    <row r="39" spans="11:11">
      <c r="K39" s="15">
        <v>42886.49</v>
      </c>
    </row>
    <row r="40" spans="11:11">
      <c r="K40" s="15">
        <v>47251.36</v>
      </c>
    </row>
    <row r="41" spans="11:11">
      <c r="K41" s="15">
        <v>51768.26</v>
      </c>
    </row>
    <row r="42" spans="11:11">
      <c r="K42" s="15">
        <v>58003</v>
      </c>
    </row>
    <row r="43" spans="11:11">
      <c r="K43" s="15">
        <v>62351.74</v>
      </c>
    </row>
    <row r="44" spans="11:11">
      <c r="K44" s="15">
        <v>64613.34</v>
      </c>
    </row>
    <row r="45" spans="11:11">
      <c r="K45" s="15">
        <v>15300.65</v>
      </c>
    </row>
    <row r="46" spans="11:11">
      <c r="K46" s="15">
        <v>17212.050615</v>
      </c>
    </row>
    <row r="47" spans="11:11">
      <c r="K47" s="15">
        <v>19229.3371</v>
      </c>
    </row>
    <row r="48" spans="11:11">
      <c r="K48" s="15">
        <v>20848.747601</v>
      </c>
    </row>
    <row r="49" spans="11:11">
      <c r="K49" s="15">
        <v>22005.63</v>
      </c>
    </row>
    <row r="50" spans="11:11">
      <c r="K50" s="15">
        <v>24407.62</v>
      </c>
    </row>
    <row r="51" spans="11:11">
      <c r="K51" s="15">
        <v>27018</v>
      </c>
    </row>
    <row r="52" spans="11:11">
      <c r="K52" s="15">
        <v>34010.9</v>
      </c>
    </row>
    <row r="53" spans="11:11">
      <c r="K53" s="15">
        <v>37113.98</v>
      </c>
    </row>
    <row r="54" spans="11:11">
      <c r="K54" s="15">
        <v>38680.63</v>
      </c>
    </row>
    <row r="55" spans="11:11">
      <c r="K55" s="15">
        <v>14359.88</v>
      </c>
    </row>
    <row r="56" spans="11:11">
      <c r="K56" s="15">
        <v>15880.578844</v>
      </c>
    </row>
    <row r="57" spans="11:11">
      <c r="K57" s="15">
        <v>16916.502942</v>
      </c>
    </row>
    <row r="58" spans="11:11">
      <c r="K58" s="15">
        <v>17770.188819</v>
      </c>
    </row>
    <row r="59" spans="11:11">
      <c r="K59" s="15">
        <v>17831.508783</v>
      </c>
    </row>
    <row r="60" spans="11:11">
      <c r="K60" s="15">
        <v>18128.1</v>
      </c>
    </row>
    <row r="61" spans="11:11">
      <c r="K61" s="15">
        <v>16096.21</v>
      </c>
    </row>
    <row r="62" spans="11:11">
      <c r="K62" s="15">
        <v>16140.8</v>
      </c>
    </row>
    <row r="63" spans="11:11">
      <c r="K63" s="15">
        <v>17212.53</v>
      </c>
    </row>
    <row r="64" spans="11:11">
      <c r="K64" s="15">
        <v>17359.82</v>
      </c>
    </row>
    <row r="65" spans="11:11">
      <c r="K65" s="15">
        <v>5020.37</v>
      </c>
    </row>
    <row r="66" spans="11:11">
      <c r="K66" s="15">
        <v>5650.203959</v>
      </c>
    </row>
    <row r="67" spans="11:11">
      <c r="K67" s="15">
        <v>6330.692315</v>
      </c>
    </row>
    <row r="68" spans="11:11">
      <c r="K68" s="15">
        <v>6836.820788</v>
      </c>
    </row>
    <row r="69" spans="11:11">
      <c r="K69" s="15">
        <v>6790.316898</v>
      </c>
    </row>
    <row r="70" spans="11:11">
      <c r="K70" s="15">
        <v>7200.37</v>
      </c>
    </row>
    <row r="71" spans="11:11">
      <c r="K71" s="15">
        <v>7459.899529</v>
      </c>
    </row>
    <row r="72" spans="11:11">
      <c r="K72" s="15">
        <v>8104.07</v>
      </c>
    </row>
    <row r="73" spans="11:11">
      <c r="K73" s="15">
        <v>8718.3</v>
      </c>
    </row>
    <row r="74" spans="11:11">
      <c r="K74" s="15">
        <v>9016.7</v>
      </c>
    </row>
    <row r="75" spans="11:11">
      <c r="K75" s="15">
        <v>2102.21</v>
      </c>
    </row>
    <row r="76" spans="11:11">
      <c r="K76" s="15">
        <v>2341.29</v>
      </c>
    </row>
    <row r="77" spans="11:11">
      <c r="K77" s="15">
        <v>2577.57</v>
      </c>
    </row>
    <row r="78" spans="11:11">
      <c r="K78" s="15">
        <v>2752.1</v>
      </c>
    </row>
    <row r="79" spans="11:11">
      <c r="K79" s="15">
        <v>2911.77</v>
      </c>
    </row>
    <row r="80" spans="11:11">
      <c r="K80" s="15">
        <v>3168.59</v>
      </c>
    </row>
    <row r="81" spans="11:11">
      <c r="K81" s="15">
        <v>3443.56</v>
      </c>
    </row>
    <row r="82" spans="11:11">
      <c r="K82" s="15">
        <v>3510.21</v>
      </c>
    </row>
    <row r="83" spans="11:11">
      <c r="K83" s="15">
        <v>3748.48</v>
      </c>
    </row>
    <row r="84" spans="11:11">
      <c r="K84" s="15">
        <v>3920.55</v>
      </c>
    </row>
    <row r="85" spans="11:11">
      <c r="K85" s="15">
        <v>6610.05</v>
      </c>
    </row>
    <row r="86" spans="11:11">
      <c r="K86" s="15">
        <v>7505.31</v>
      </c>
    </row>
    <row r="87" spans="11:11">
      <c r="K87" s="15">
        <v>8443.84</v>
      </c>
    </row>
    <row r="88" spans="11:11">
      <c r="K88" s="15">
        <v>9273.46</v>
      </c>
    </row>
    <row r="89" spans="11:11">
      <c r="K89" s="15">
        <v>9324.8</v>
      </c>
    </row>
    <row r="90" spans="11:11">
      <c r="K90" s="15">
        <v>9649.7</v>
      </c>
    </row>
    <row r="91" spans="11:11">
      <c r="K91" s="15">
        <v>10881.96</v>
      </c>
    </row>
    <row r="92" spans="11:11">
      <c r="K92" s="15">
        <v>12809.39</v>
      </c>
    </row>
    <row r="93" spans="11:11">
      <c r="K93" s="15">
        <v>13597.11</v>
      </c>
    </row>
    <row r="94" spans="11:11">
      <c r="K94" s="15">
        <v>13797.58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4"/>
  <sheetViews>
    <sheetView workbookViewId="0">
      <selection activeCell="I2" sqref="I2:I11"/>
    </sheetView>
  </sheetViews>
  <sheetFormatPr defaultColWidth="8.775" defaultRowHeight="14"/>
  <cols>
    <col min="2" max="2" width="11.6666666666667" customWidth="1"/>
    <col min="3" max="3" width="15.775" customWidth="1"/>
    <col min="4" max="4" width="11.1083333333333" customWidth="1"/>
    <col min="5" max="5" width="14.775" customWidth="1"/>
    <col min="6" max="6" width="13.4416666666667" customWidth="1"/>
    <col min="7" max="7" width="15.3333333333333" customWidth="1"/>
    <col min="8" max="8" width="11.6666666666667" customWidth="1"/>
    <col min="9" max="9" width="17.4416666666667" customWidth="1"/>
  </cols>
  <sheetData>
    <row r="1" spans="2:9"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</row>
    <row r="2" spans="1:11">
      <c r="A2">
        <v>2011</v>
      </c>
      <c r="B2">
        <v>28026.2556734583</v>
      </c>
      <c r="C2">
        <v>86020.7968373509</v>
      </c>
      <c r="D2">
        <v>48084.5686998072</v>
      </c>
      <c r="E2">
        <v>39588.9178838985</v>
      </c>
      <c r="F2">
        <v>33951.8533862881</v>
      </c>
      <c r="G2">
        <v>12063.6172496492</v>
      </c>
      <c r="H2">
        <v>5189.69429498617</v>
      </c>
      <c r="I2">
        <v>14155.5056261206</v>
      </c>
      <c r="K2" t="s">
        <v>8</v>
      </c>
    </row>
    <row r="3" spans="1:9">
      <c r="A3">
        <v>2012</v>
      </c>
      <c r="B3">
        <v>30590.1151288063</v>
      </c>
      <c r="C3">
        <v>109469.380340965</v>
      </c>
      <c r="D3">
        <v>60564.4101046258</v>
      </c>
      <c r="E3">
        <v>50843.3327670443</v>
      </c>
      <c r="F3">
        <v>42568.2154612044</v>
      </c>
      <c r="G3">
        <v>15085.7499936829</v>
      </c>
      <c r="H3">
        <v>6801.00184266749</v>
      </c>
      <c r="I3">
        <v>18955.357086013</v>
      </c>
    </row>
    <row r="4" spans="1:9">
      <c r="A4">
        <v>2013</v>
      </c>
      <c r="B4">
        <v>33301.2540764409</v>
      </c>
      <c r="C4">
        <v>134942.839828233</v>
      </c>
      <c r="D4">
        <v>74944.2967345817</v>
      </c>
      <c r="E4">
        <v>64213.494021408</v>
      </c>
      <c r="F4">
        <v>52699.0443769288</v>
      </c>
      <c r="G4">
        <v>18678.0479942893</v>
      </c>
      <c r="H4">
        <v>8829.24856577141</v>
      </c>
      <c r="I4">
        <v>24867.9471057558</v>
      </c>
    </row>
    <row r="5" spans="1:9">
      <c r="A5">
        <v>2014</v>
      </c>
      <c r="B5">
        <v>36120.7636851026</v>
      </c>
      <c r="C5">
        <v>163541.077204722</v>
      </c>
      <c r="D5">
        <v>91304.4042480618</v>
      </c>
      <c r="E5">
        <v>79305.2924953529</v>
      </c>
      <c r="F5">
        <v>65231.7622167436</v>
      </c>
      <c r="G5">
        <v>23292.1553868376</v>
      </c>
      <c r="H5">
        <v>11182.6256034574</v>
      </c>
      <c r="I5">
        <v>31928.3660836032</v>
      </c>
    </row>
    <row r="6" spans="1:9">
      <c r="A6">
        <v>2015</v>
      </c>
      <c r="B6">
        <v>39005.8703713327</v>
      </c>
      <c r="C6">
        <v>193746.303793069</v>
      </c>
      <c r="D6">
        <v>109203.901440248</v>
      </c>
      <c r="E6">
        <v>95657.535915799</v>
      </c>
      <c r="F6">
        <v>72671.7347439362</v>
      </c>
      <c r="G6">
        <v>28815.7284697012</v>
      </c>
      <c r="H6">
        <v>13642.0203455255</v>
      </c>
      <c r="I6">
        <v>39676.2735395773</v>
      </c>
    </row>
    <row r="7" spans="1:9">
      <c r="A7">
        <v>2016</v>
      </c>
      <c r="B7">
        <v>42017.1868156848</v>
      </c>
      <c r="C7">
        <v>224517.508628934</v>
      </c>
      <c r="D7">
        <v>128291.326901984</v>
      </c>
      <c r="E7">
        <v>113232.523967882</v>
      </c>
      <c r="F7">
        <v>80775.2618085184</v>
      </c>
      <c r="G7">
        <v>34676.0185366098</v>
      </c>
      <c r="H7">
        <v>16167.849692355</v>
      </c>
      <c r="I7">
        <v>46154.8811797779</v>
      </c>
    </row>
    <row r="8" spans="1:9">
      <c r="A8">
        <v>2017</v>
      </c>
      <c r="B8">
        <v>45230.136881379</v>
      </c>
      <c r="C8">
        <v>255964.037800557</v>
      </c>
      <c r="D8">
        <v>147101.349519394</v>
      </c>
      <c r="E8">
        <v>131548.158066966</v>
      </c>
      <c r="F8">
        <v>87033.9974749006</v>
      </c>
      <c r="G8">
        <v>40881.2207570953</v>
      </c>
      <c r="H8">
        <v>18429.1149218889</v>
      </c>
      <c r="I8">
        <v>53813.1302865192</v>
      </c>
    </row>
    <row r="9" spans="1:9">
      <c r="A9">
        <v>2018</v>
      </c>
      <c r="B9">
        <v>48511.4669407667</v>
      </c>
      <c r="C9">
        <v>287306.711721703</v>
      </c>
      <c r="D9">
        <v>166315.555255532</v>
      </c>
      <c r="E9">
        <v>151549.434147737</v>
      </c>
      <c r="F9">
        <v>88866.3016189102</v>
      </c>
      <c r="G9">
        <v>46118.8936644142</v>
      </c>
      <c r="H9">
        <v>19779.2637893876</v>
      </c>
      <c r="I9">
        <v>58236.1579386534</v>
      </c>
    </row>
    <row r="10" spans="1:9">
      <c r="A10">
        <v>2019</v>
      </c>
      <c r="B10">
        <v>51866.5838976531</v>
      </c>
      <c r="C10">
        <v>318492.16524547</v>
      </c>
      <c r="D10">
        <v>187052.126705291</v>
      </c>
      <c r="E10">
        <v>172632.538456233</v>
      </c>
      <c r="F10">
        <v>91113.5835033876</v>
      </c>
      <c r="G10">
        <v>51454.7948911904</v>
      </c>
      <c r="H10">
        <v>20653.5511656064</v>
      </c>
      <c r="I10">
        <v>63004.5787154017</v>
      </c>
    </row>
    <row r="11" spans="1:9">
      <c r="A11">
        <v>2020</v>
      </c>
      <c r="B11">
        <v>55724.868058348</v>
      </c>
      <c r="C11">
        <v>346860.115924502</v>
      </c>
      <c r="D11">
        <v>207779.941992605</v>
      </c>
      <c r="E11">
        <v>193508.889100433</v>
      </c>
      <c r="F11">
        <v>92961.892730677</v>
      </c>
      <c r="G11">
        <v>57044.8698291531</v>
      </c>
      <c r="H11">
        <v>21577.0155537082</v>
      </c>
      <c r="I11">
        <v>69449.2040369872</v>
      </c>
    </row>
    <row r="13" spans="2:2">
      <c r="B13">
        <f>AVERAGE(B2:I11)</f>
        <v>80530.6871093405</v>
      </c>
    </row>
    <row r="15" spans="2:11">
      <c r="B15">
        <f>B2/$B$13</f>
        <v>0.348019577125993</v>
      </c>
      <c r="C15">
        <f t="shared" ref="C15:I15" si="0">C2/$B$13</f>
        <v>1.06817413243421</v>
      </c>
      <c r="D15">
        <f t="shared" si="0"/>
        <v>0.597096217923988</v>
      </c>
      <c r="E15">
        <f t="shared" si="0"/>
        <v>0.491600398617569</v>
      </c>
      <c r="F15">
        <f t="shared" si="0"/>
        <v>0.421601436731689</v>
      </c>
      <c r="G15">
        <f t="shared" si="0"/>
        <v>0.149801494097149</v>
      </c>
      <c r="H15">
        <f t="shared" si="0"/>
        <v>0.0644436857708647</v>
      </c>
      <c r="I15">
        <f t="shared" si="0"/>
        <v>0.175777782783611</v>
      </c>
      <c r="K15">
        <v>28026.2556734583</v>
      </c>
    </row>
    <row r="16" spans="2:11">
      <c r="B16">
        <f>B3/$B$13</f>
        <v>0.379856626422082</v>
      </c>
      <c r="C16">
        <f t="shared" ref="C16:I16" si="1">C3/$B$13</f>
        <v>1.35934988599232</v>
      </c>
      <c r="D16">
        <f t="shared" si="1"/>
        <v>0.752066228149705</v>
      </c>
      <c r="E16">
        <f t="shared" si="1"/>
        <v>0.631353519907408</v>
      </c>
      <c r="F16">
        <f t="shared" si="1"/>
        <v>0.528596203375335</v>
      </c>
      <c r="G16">
        <f t="shared" si="1"/>
        <v>0.187329209959431</v>
      </c>
      <c r="H16">
        <f t="shared" si="1"/>
        <v>0.0844523011884083</v>
      </c>
      <c r="I16">
        <f t="shared" si="1"/>
        <v>0.235380545807046</v>
      </c>
      <c r="K16">
        <v>30590.1151288063</v>
      </c>
    </row>
    <row r="17" spans="2:11">
      <c r="B17">
        <f t="shared" ref="B17:I17" si="2">B4/$B$13</f>
        <v>0.413522537454898</v>
      </c>
      <c r="C17">
        <f t="shared" si="2"/>
        <v>1.67566979336727</v>
      </c>
      <c r="D17">
        <f t="shared" si="2"/>
        <v>0.930630290448486</v>
      </c>
      <c r="E17">
        <f t="shared" si="2"/>
        <v>0.797379189553197</v>
      </c>
      <c r="F17">
        <f t="shared" si="2"/>
        <v>0.654397053701736</v>
      </c>
      <c r="G17">
        <f t="shared" si="2"/>
        <v>0.231937025061381</v>
      </c>
      <c r="H17">
        <f t="shared" si="2"/>
        <v>0.109638311589016</v>
      </c>
      <c r="I17">
        <f t="shared" si="2"/>
        <v>0.308800880737442</v>
      </c>
      <c r="K17">
        <v>33301.2540764409</v>
      </c>
    </row>
    <row r="18" spans="2:11">
      <c r="B18">
        <f t="shared" ref="B18:I18" si="3">B5/$B$13</f>
        <v>0.44853415488756</v>
      </c>
      <c r="C18">
        <f t="shared" si="3"/>
        <v>2.03079202568674</v>
      </c>
      <c r="D18">
        <f t="shared" si="3"/>
        <v>1.13378399620623</v>
      </c>
      <c r="E18">
        <f t="shared" si="3"/>
        <v>0.984783507281841</v>
      </c>
      <c r="F18">
        <f t="shared" si="3"/>
        <v>0.810023663751624</v>
      </c>
      <c r="G18">
        <f t="shared" si="3"/>
        <v>0.289233287618826</v>
      </c>
      <c r="H18">
        <f t="shared" si="3"/>
        <v>0.138861668822894</v>
      </c>
      <c r="I18">
        <f t="shared" si="3"/>
        <v>0.396474527036538</v>
      </c>
      <c r="K18">
        <v>36120.7636851026</v>
      </c>
    </row>
    <row r="19" spans="2:11">
      <c r="B19">
        <f t="shared" ref="B19:I19" si="4">B6/$B$13</f>
        <v>0.484360332333593</v>
      </c>
      <c r="C19">
        <f t="shared" si="4"/>
        <v>2.40586924994207</v>
      </c>
      <c r="D19">
        <f t="shared" si="4"/>
        <v>1.35605326814083</v>
      </c>
      <c r="E19">
        <f t="shared" si="4"/>
        <v>1.18783955966897</v>
      </c>
      <c r="F19">
        <f t="shared" si="4"/>
        <v>0.902410464290044</v>
      </c>
      <c r="G19">
        <f t="shared" si="4"/>
        <v>0.357822955497407</v>
      </c>
      <c r="H19">
        <f t="shared" si="4"/>
        <v>0.169401514319666</v>
      </c>
      <c r="I19">
        <f t="shared" si="4"/>
        <v>0.492685148528621</v>
      </c>
      <c r="K19">
        <v>39005.8703713327</v>
      </c>
    </row>
    <row r="20" spans="2:11">
      <c r="B20">
        <f t="shared" ref="B20:I20" si="5">B7/$B$13</f>
        <v>0.521753735425552</v>
      </c>
      <c r="C20">
        <f t="shared" si="5"/>
        <v>2.7879745807222</v>
      </c>
      <c r="D20">
        <f t="shared" si="5"/>
        <v>1.5930737897194</v>
      </c>
      <c r="E20">
        <f t="shared" si="5"/>
        <v>1.40607919828302</v>
      </c>
      <c r="F20">
        <f t="shared" si="5"/>
        <v>1.00303703728301</v>
      </c>
      <c r="G20">
        <f t="shared" si="5"/>
        <v>0.430593849143849</v>
      </c>
      <c r="H20">
        <f t="shared" si="5"/>
        <v>0.200766319929732</v>
      </c>
      <c r="I20">
        <f t="shared" si="5"/>
        <v>0.573134078902259</v>
      </c>
      <c r="K20">
        <v>42017.1868156848</v>
      </c>
    </row>
    <row r="21" spans="2:11">
      <c r="B21">
        <f t="shared" ref="B21:I21" si="6">B8/$B$13</f>
        <v>0.561650949531423</v>
      </c>
      <c r="C21">
        <f t="shared" si="6"/>
        <v>3.17846583691781</v>
      </c>
      <c r="D21">
        <f t="shared" si="6"/>
        <v>1.82664962636748</v>
      </c>
      <c r="E21">
        <f t="shared" si="6"/>
        <v>1.63351590292973</v>
      </c>
      <c r="F21">
        <f t="shared" si="6"/>
        <v>1.08075567959243</v>
      </c>
      <c r="G21">
        <f t="shared" si="6"/>
        <v>0.507647733113078</v>
      </c>
      <c r="H21">
        <f t="shared" si="6"/>
        <v>0.228845867127233</v>
      </c>
      <c r="I21">
        <f t="shared" si="6"/>
        <v>0.66823135649463</v>
      </c>
      <c r="K21">
        <v>45230.136881379</v>
      </c>
    </row>
    <row r="22" spans="2:11">
      <c r="B22">
        <f t="shared" ref="B22:I22" si="7">B9/$B$13</f>
        <v>0.60239728086388</v>
      </c>
      <c r="C22">
        <f t="shared" si="7"/>
        <v>3.56766745739562</v>
      </c>
      <c r="D22">
        <f t="shared" si="7"/>
        <v>2.0652444580501</v>
      </c>
      <c r="E22">
        <f t="shared" si="7"/>
        <v>1.88188428023681</v>
      </c>
      <c r="F22">
        <f t="shared" si="7"/>
        <v>1.10350854821656</v>
      </c>
      <c r="G22">
        <f t="shared" si="7"/>
        <v>0.572687199375267</v>
      </c>
      <c r="H22">
        <f t="shared" si="7"/>
        <v>0.24561151157859</v>
      </c>
      <c r="I22">
        <f t="shared" si="7"/>
        <v>0.7231548621904</v>
      </c>
      <c r="K22">
        <v>48511.4669407667</v>
      </c>
    </row>
    <row r="23" spans="2:11">
      <c r="B23">
        <f t="shared" ref="B23:I23" si="8">B10/$B$13</f>
        <v>0.644059870335283</v>
      </c>
      <c r="C23">
        <f t="shared" si="8"/>
        <v>3.95491677368948</v>
      </c>
      <c r="D23">
        <f t="shared" si="8"/>
        <v>2.32274345866838</v>
      </c>
      <c r="E23">
        <f t="shared" si="8"/>
        <v>2.14368639648934</v>
      </c>
      <c r="F23">
        <f t="shared" si="8"/>
        <v>1.13141445545694</v>
      </c>
      <c r="G23">
        <f t="shared" si="8"/>
        <v>0.638946428227139</v>
      </c>
      <c r="H23">
        <f t="shared" si="8"/>
        <v>0.25646808573189</v>
      </c>
      <c r="I23">
        <f t="shared" si="8"/>
        <v>0.782367330727693</v>
      </c>
      <c r="K23">
        <v>51866.5838976531</v>
      </c>
    </row>
    <row r="24" spans="2:11">
      <c r="B24">
        <f t="shared" ref="B24:I24" si="9">B11/$B$13</f>
        <v>0.691970602246167</v>
      </c>
      <c r="C24">
        <f t="shared" si="9"/>
        <v>4.30717939179573</v>
      </c>
      <c r="D24">
        <f t="shared" si="9"/>
        <v>2.58013372853123</v>
      </c>
      <c r="E24">
        <f t="shared" si="9"/>
        <v>2.40292112294654</v>
      </c>
      <c r="F24">
        <f t="shared" si="9"/>
        <v>1.15436606922847</v>
      </c>
      <c r="G24">
        <f t="shared" si="9"/>
        <v>0.708361891308594</v>
      </c>
      <c r="H24">
        <f t="shared" si="9"/>
        <v>0.267935321654613</v>
      </c>
      <c r="I24">
        <f t="shared" si="9"/>
        <v>0.862394281358765</v>
      </c>
      <c r="K24">
        <v>55724.868058348</v>
      </c>
    </row>
    <row r="25" spans="11:11">
      <c r="K25">
        <v>86020.7968373509</v>
      </c>
    </row>
    <row r="26" spans="11:11">
      <c r="K26">
        <v>109469.380340965</v>
      </c>
    </row>
    <row r="27" spans="11:11">
      <c r="K27">
        <v>134942.839828233</v>
      </c>
    </row>
    <row r="28" spans="11:11">
      <c r="K28">
        <v>163541.077204722</v>
      </c>
    </row>
    <row r="29" spans="11:11">
      <c r="K29">
        <v>193746.303793069</v>
      </c>
    </row>
    <row r="30" spans="11:11">
      <c r="K30">
        <v>224517.508628934</v>
      </c>
    </row>
    <row r="31" spans="11:11">
      <c r="K31">
        <v>255964.037800557</v>
      </c>
    </row>
    <row r="32" spans="11:11">
      <c r="K32">
        <v>287306.711721703</v>
      </c>
    </row>
    <row r="33" spans="11:11">
      <c r="K33">
        <v>318492.16524547</v>
      </c>
    </row>
    <row r="34" spans="11:11">
      <c r="K34">
        <v>346860.115924502</v>
      </c>
    </row>
    <row r="35" spans="11:11">
      <c r="K35">
        <v>48084.5686998072</v>
      </c>
    </row>
    <row r="36" spans="11:11">
      <c r="K36">
        <v>60564.4101046258</v>
      </c>
    </row>
    <row r="37" spans="11:11">
      <c r="K37">
        <v>74944.2967345817</v>
      </c>
    </row>
    <row r="38" spans="11:11">
      <c r="K38">
        <v>91304.4042480618</v>
      </c>
    </row>
    <row r="39" spans="11:11">
      <c r="K39">
        <v>109203.901440248</v>
      </c>
    </row>
    <row r="40" spans="11:11">
      <c r="K40">
        <v>128291.326901984</v>
      </c>
    </row>
    <row r="41" spans="11:11">
      <c r="K41">
        <v>147101.349519394</v>
      </c>
    </row>
    <row r="42" spans="11:11">
      <c r="K42">
        <v>166315.555255532</v>
      </c>
    </row>
    <row r="43" spans="11:11">
      <c r="K43">
        <v>187052.126705291</v>
      </c>
    </row>
    <row r="44" spans="11:11">
      <c r="K44">
        <v>207779.941992605</v>
      </c>
    </row>
    <row r="45" spans="11:11">
      <c r="K45">
        <v>39588.9178838985</v>
      </c>
    </row>
    <row r="46" spans="11:11">
      <c r="K46">
        <v>50843.3327670443</v>
      </c>
    </row>
    <row r="47" spans="11:11">
      <c r="K47">
        <v>64213.494021408</v>
      </c>
    </row>
    <row r="48" spans="11:11">
      <c r="K48">
        <v>79305.2924953529</v>
      </c>
    </row>
    <row r="49" spans="11:11">
      <c r="K49">
        <v>95657.535915799</v>
      </c>
    </row>
    <row r="50" spans="11:11">
      <c r="K50">
        <v>113232.523967882</v>
      </c>
    </row>
    <row r="51" spans="11:11">
      <c r="K51">
        <v>131548.158066966</v>
      </c>
    </row>
    <row r="52" spans="11:11">
      <c r="K52">
        <v>151549.434147737</v>
      </c>
    </row>
    <row r="53" spans="11:11">
      <c r="K53">
        <v>172632.538456233</v>
      </c>
    </row>
    <row r="54" spans="11:11">
      <c r="K54">
        <v>193508.889100433</v>
      </c>
    </row>
    <row r="55" spans="11:11">
      <c r="K55">
        <v>33951.8533862881</v>
      </c>
    </row>
    <row r="56" spans="11:11">
      <c r="K56">
        <v>42568.2154612044</v>
      </c>
    </row>
    <row r="57" spans="11:11">
      <c r="K57">
        <v>52699.0443769288</v>
      </c>
    </row>
    <row r="58" spans="11:11">
      <c r="K58">
        <v>65231.7622167436</v>
      </c>
    </row>
    <row r="59" spans="11:11">
      <c r="K59">
        <v>72671.7347439362</v>
      </c>
    </row>
    <row r="60" spans="11:11">
      <c r="K60">
        <v>80775.2618085184</v>
      </c>
    </row>
    <row r="61" spans="11:11">
      <c r="K61">
        <v>87033.9974749006</v>
      </c>
    </row>
    <row r="62" spans="11:11">
      <c r="K62">
        <v>88866.3016189102</v>
      </c>
    </row>
    <row r="63" spans="11:11">
      <c r="K63">
        <v>91113.5835033876</v>
      </c>
    </row>
    <row r="64" spans="11:11">
      <c r="K64">
        <v>92961.892730677</v>
      </c>
    </row>
    <row r="65" spans="11:11">
      <c r="K65">
        <v>12063.6172496492</v>
      </c>
    </row>
    <row r="66" spans="11:11">
      <c r="K66">
        <v>15085.7499936829</v>
      </c>
    </row>
    <row r="67" spans="11:11">
      <c r="K67">
        <v>18678.0479942893</v>
      </c>
    </row>
    <row r="68" spans="11:11">
      <c r="K68">
        <v>23292.1553868376</v>
      </c>
    </row>
    <row r="69" spans="11:11">
      <c r="K69">
        <v>28815.7284697012</v>
      </c>
    </row>
    <row r="70" spans="11:11">
      <c r="K70">
        <v>34676.0185366098</v>
      </c>
    </row>
    <row r="71" spans="11:11">
      <c r="K71">
        <v>40881.2207570953</v>
      </c>
    </row>
    <row r="72" spans="11:11">
      <c r="K72">
        <v>46118.8936644142</v>
      </c>
    </row>
    <row r="73" spans="11:11">
      <c r="K73">
        <v>51454.7948911904</v>
      </c>
    </row>
    <row r="74" spans="11:11">
      <c r="K74">
        <v>57044.8698291531</v>
      </c>
    </row>
    <row r="75" spans="11:11">
      <c r="K75">
        <v>5189.69429498617</v>
      </c>
    </row>
    <row r="76" spans="11:11">
      <c r="K76">
        <v>6801.00184266749</v>
      </c>
    </row>
    <row r="77" spans="11:11">
      <c r="K77">
        <v>8829.24856577141</v>
      </c>
    </row>
    <row r="78" spans="11:11">
      <c r="K78">
        <v>11182.6256034574</v>
      </c>
    </row>
    <row r="79" spans="11:11">
      <c r="K79">
        <v>13642.0203455255</v>
      </c>
    </row>
    <row r="80" spans="11:11">
      <c r="K80">
        <v>16167.849692355</v>
      </c>
    </row>
    <row r="81" spans="11:11">
      <c r="K81">
        <v>18429.1149218889</v>
      </c>
    </row>
    <row r="82" spans="11:11">
      <c r="K82">
        <v>19779.2637893876</v>
      </c>
    </row>
    <row r="83" spans="11:11">
      <c r="K83">
        <v>20653.5511656064</v>
      </c>
    </row>
    <row r="84" spans="11:11">
      <c r="K84">
        <v>21577.0155537082</v>
      </c>
    </row>
    <row r="85" spans="11:11">
      <c r="K85">
        <v>14155.5056261206</v>
      </c>
    </row>
    <row r="86" spans="11:11">
      <c r="K86">
        <v>18955.357086013</v>
      </c>
    </row>
    <row r="87" spans="11:11">
      <c r="K87">
        <v>24867.9471057558</v>
      </c>
    </row>
    <row r="88" spans="11:11">
      <c r="K88">
        <v>31928.3660836032</v>
      </c>
    </row>
    <row r="89" spans="11:11">
      <c r="K89">
        <v>39676.2735395773</v>
      </c>
    </row>
    <row r="90" spans="11:11">
      <c r="K90">
        <v>46154.8811797779</v>
      </c>
    </row>
    <row r="91" spans="11:11">
      <c r="K91">
        <v>53813.1302865192</v>
      </c>
    </row>
    <row r="92" spans="11:11">
      <c r="K92">
        <v>58236.1579386534</v>
      </c>
    </row>
    <row r="93" spans="11:11">
      <c r="K93">
        <v>63004.5787154017</v>
      </c>
    </row>
    <row r="94" spans="11:11">
      <c r="K94">
        <v>69449.2040369872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4"/>
  <sheetViews>
    <sheetView workbookViewId="0">
      <selection activeCell="I2" sqref="I2:I11"/>
    </sheetView>
  </sheetViews>
  <sheetFormatPr defaultColWidth="8.775" defaultRowHeight="14"/>
  <sheetData>
    <row r="1" spans="2:11"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K1" s="13" t="s">
        <v>9</v>
      </c>
    </row>
    <row r="2" spans="1:9">
      <c r="A2" s="7">
        <v>40908</v>
      </c>
      <c r="B2">
        <v>1104.33</v>
      </c>
      <c r="C2">
        <v>4758.23</v>
      </c>
      <c r="D2">
        <v>3385</v>
      </c>
      <c r="E2">
        <v>4120.9</v>
      </c>
      <c r="F2">
        <v>1388</v>
      </c>
      <c r="G2">
        <v>1379</v>
      </c>
      <c r="H2">
        <v>478.5</v>
      </c>
      <c r="I2">
        <v>1246.12</v>
      </c>
    </row>
    <row r="3" spans="1:9">
      <c r="A3" s="7">
        <v>41274</v>
      </c>
      <c r="B3">
        <v>1115.5</v>
      </c>
      <c r="C3">
        <v>4759.53</v>
      </c>
      <c r="D3">
        <v>3407</v>
      </c>
      <c r="E3">
        <v>4206.8</v>
      </c>
      <c r="F3">
        <v>1379</v>
      </c>
      <c r="G3">
        <v>1358</v>
      </c>
      <c r="H3">
        <v>487.9</v>
      </c>
      <c r="I3">
        <v>1257.85</v>
      </c>
    </row>
    <row r="4" spans="1:9">
      <c r="A4" s="7">
        <v>41639</v>
      </c>
      <c r="B4">
        <v>1137.35</v>
      </c>
      <c r="C4">
        <v>4759.89</v>
      </c>
      <c r="D4">
        <v>3436</v>
      </c>
      <c r="E4">
        <v>4275.9</v>
      </c>
      <c r="F4">
        <v>1370</v>
      </c>
      <c r="G4">
        <v>1352</v>
      </c>
      <c r="H4">
        <v>494</v>
      </c>
      <c r="I4">
        <v>1271.9</v>
      </c>
    </row>
    <row r="5" spans="1:9">
      <c r="A5" s="7">
        <v>42004</v>
      </c>
      <c r="B5">
        <v>1365.63</v>
      </c>
      <c r="C5">
        <v>4760.83</v>
      </c>
      <c r="D5">
        <v>3459</v>
      </c>
      <c r="E5">
        <v>4311</v>
      </c>
      <c r="F5">
        <v>1360</v>
      </c>
      <c r="G5">
        <v>1348</v>
      </c>
      <c r="H5">
        <v>499.15</v>
      </c>
      <c r="I5">
        <v>1276.21</v>
      </c>
    </row>
    <row r="6" spans="1:9">
      <c r="A6" s="7">
        <v>42369</v>
      </c>
      <c r="B6">
        <v>1361.51</v>
      </c>
      <c r="C6">
        <v>4758.5</v>
      </c>
      <c r="D6">
        <v>3505</v>
      </c>
      <c r="E6">
        <v>4342.1</v>
      </c>
      <c r="F6">
        <v>1351</v>
      </c>
      <c r="G6">
        <v>1346</v>
      </c>
      <c r="H6">
        <v>503.1</v>
      </c>
      <c r="I6">
        <v>1305.42</v>
      </c>
    </row>
    <row r="7" spans="1:9">
      <c r="A7" s="7">
        <v>42735</v>
      </c>
      <c r="B7">
        <v>1365.24</v>
      </c>
      <c r="C7">
        <v>4756.22</v>
      </c>
      <c r="D7">
        <v>3552</v>
      </c>
      <c r="E7">
        <v>4361.6</v>
      </c>
      <c r="F7">
        <v>1326</v>
      </c>
      <c r="G7">
        <v>1341</v>
      </c>
      <c r="H7">
        <v>509.4</v>
      </c>
      <c r="I7">
        <v>1332.66</v>
      </c>
    </row>
    <row r="8" spans="1:9">
      <c r="A8" s="7">
        <v>43100</v>
      </c>
      <c r="B8">
        <v>1372.65</v>
      </c>
      <c r="C8">
        <v>4757.8</v>
      </c>
      <c r="D8">
        <v>3613</v>
      </c>
      <c r="E8">
        <v>4377.9</v>
      </c>
      <c r="F8">
        <v>1317</v>
      </c>
      <c r="G8">
        <v>1337</v>
      </c>
      <c r="H8">
        <v>514.4</v>
      </c>
      <c r="I8">
        <v>1349.79</v>
      </c>
    </row>
    <row r="9" spans="1:9">
      <c r="A9" s="7">
        <v>43465</v>
      </c>
      <c r="B9">
        <v>1375.66</v>
      </c>
      <c r="C9">
        <v>4750.9</v>
      </c>
      <c r="D9">
        <v>3691</v>
      </c>
      <c r="E9">
        <v>4385.3</v>
      </c>
      <c r="F9">
        <v>1304</v>
      </c>
      <c r="G9">
        <v>1337</v>
      </c>
      <c r="H9">
        <v>518.36</v>
      </c>
      <c r="I9">
        <v>1343.95</v>
      </c>
    </row>
    <row r="10" spans="1:9">
      <c r="A10" s="7">
        <v>43830</v>
      </c>
      <c r="B10">
        <v>1376.2</v>
      </c>
      <c r="C10">
        <v>4745.2</v>
      </c>
      <c r="D10">
        <v>3771</v>
      </c>
      <c r="E10">
        <v>4384</v>
      </c>
      <c r="F10">
        <v>1272</v>
      </c>
      <c r="G10">
        <v>1333</v>
      </c>
      <c r="H10">
        <v>523.3</v>
      </c>
      <c r="I10">
        <v>1355.06</v>
      </c>
    </row>
    <row r="11" spans="1:9">
      <c r="A11" s="7">
        <v>44196</v>
      </c>
      <c r="B11">
        <v>1374</v>
      </c>
      <c r="C11">
        <v>4893</v>
      </c>
      <c r="D11">
        <v>3857</v>
      </c>
      <c r="E11">
        <v>3243</v>
      </c>
      <c r="F11">
        <v>1242</v>
      </c>
      <c r="G11">
        <v>1331</v>
      </c>
      <c r="H11">
        <v>559.1</v>
      </c>
      <c r="I11">
        <v>1369.07</v>
      </c>
    </row>
    <row r="13" spans="2:2">
      <c r="B13">
        <f>AVERAGE(B2:I11)</f>
        <v>2291.236375</v>
      </c>
    </row>
    <row r="15" spans="2:11">
      <c r="B15">
        <f>B2/$B$13</f>
        <v>0.481979952854057</v>
      </c>
      <c r="C15">
        <f t="shared" ref="C15:I15" si="0">C2/$B$13</f>
        <v>2.07670847578963</v>
      </c>
      <c r="D15">
        <f t="shared" si="0"/>
        <v>1.47736830513613</v>
      </c>
      <c r="E15">
        <f t="shared" si="0"/>
        <v>1.79854861111831</v>
      </c>
      <c r="F15">
        <f t="shared" si="0"/>
        <v>0.605786471943559</v>
      </c>
      <c r="G15">
        <f t="shared" si="0"/>
        <v>0.601858461678796</v>
      </c>
      <c r="H15">
        <f t="shared" si="0"/>
        <v>0.208839212409937</v>
      </c>
      <c r="I15">
        <f t="shared" si="0"/>
        <v>0.543863572347484</v>
      </c>
      <c r="K15">
        <v>1104.33</v>
      </c>
    </row>
    <row r="16" spans="2:11">
      <c r="B16">
        <f t="shared" ref="B16:I16" si="1">B3/$B$13</f>
        <v>0.486855050038214</v>
      </c>
      <c r="C16">
        <f t="shared" si="1"/>
        <v>2.07727585505009</v>
      </c>
      <c r="D16">
        <f t="shared" si="1"/>
        <v>1.48697010800555</v>
      </c>
      <c r="E16">
        <f t="shared" si="1"/>
        <v>1.83603928686755</v>
      </c>
      <c r="F16">
        <f t="shared" si="1"/>
        <v>0.601858461678796</v>
      </c>
      <c r="G16">
        <f t="shared" si="1"/>
        <v>0.592693104394347</v>
      </c>
      <c r="H16">
        <f t="shared" si="1"/>
        <v>0.212941800908691</v>
      </c>
      <c r="I16">
        <f t="shared" si="1"/>
        <v>0.548983079059226</v>
      </c>
      <c r="K16">
        <v>1115.5</v>
      </c>
    </row>
    <row r="17" spans="2:11">
      <c r="B17">
        <f t="shared" ref="B17:I17" si="2">B4/$B$13</f>
        <v>0.49639138606989</v>
      </c>
      <c r="C17">
        <f t="shared" si="2"/>
        <v>2.07743297546068</v>
      </c>
      <c r="D17">
        <f t="shared" si="2"/>
        <v>1.49962702996979</v>
      </c>
      <c r="E17">
        <f t="shared" si="2"/>
        <v>1.86619767678924</v>
      </c>
      <c r="F17">
        <f t="shared" si="2"/>
        <v>0.597930451414032</v>
      </c>
      <c r="G17">
        <f t="shared" si="2"/>
        <v>0.590074430884505</v>
      </c>
      <c r="H17">
        <f t="shared" si="2"/>
        <v>0.21560411897703</v>
      </c>
      <c r="I17">
        <f t="shared" si="2"/>
        <v>0.555115139528107</v>
      </c>
      <c r="K17">
        <v>1137.35</v>
      </c>
    </row>
    <row r="18" spans="2:11">
      <c r="B18">
        <f t="shared" ref="B18:I18" si="3">B5/$B$13</f>
        <v>0.596023184207697</v>
      </c>
      <c r="C18">
        <f t="shared" si="3"/>
        <v>2.07784323431056</v>
      </c>
      <c r="D18">
        <f t="shared" si="3"/>
        <v>1.50966527842419</v>
      </c>
      <c r="E18">
        <f t="shared" si="3"/>
        <v>1.88151691682182</v>
      </c>
      <c r="F18">
        <f t="shared" si="3"/>
        <v>0.593565995564294</v>
      </c>
      <c r="G18">
        <f t="shared" si="3"/>
        <v>0.588328648544609</v>
      </c>
      <c r="H18">
        <f t="shared" si="3"/>
        <v>0.217851813739645</v>
      </c>
      <c r="I18">
        <f t="shared" si="3"/>
        <v>0.556996219999344</v>
      </c>
      <c r="K18">
        <v>1365.63</v>
      </c>
    </row>
    <row r="19" spans="2:11">
      <c r="B19">
        <f t="shared" ref="B19:I19" si="4">B6/$B$13</f>
        <v>0.594225028397605</v>
      </c>
      <c r="C19">
        <f t="shared" si="4"/>
        <v>2.07682631609757</v>
      </c>
      <c r="D19">
        <f t="shared" si="4"/>
        <v>1.52974177533298</v>
      </c>
      <c r="E19">
        <f t="shared" si="4"/>
        <v>1.8950903745145</v>
      </c>
      <c r="F19">
        <f t="shared" si="4"/>
        <v>0.589637985299531</v>
      </c>
      <c r="G19">
        <f t="shared" si="4"/>
        <v>0.587455757374662</v>
      </c>
      <c r="H19">
        <f t="shared" si="4"/>
        <v>0.219575773800292</v>
      </c>
      <c r="I19">
        <f t="shared" si="4"/>
        <v>0.569744795536427</v>
      </c>
      <c r="K19">
        <v>1361.51</v>
      </c>
    </row>
    <row r="20" spans="2:11">
      <c r="B20">
        <f t="shared" ref="B20:I20" si="5">B7/$B$13</f>
        <v>0.595852970429557</v>
      </c>
      <c r="C20">
        <f t="shared" si="5"/>
        <v>2.07583122016383</v>
      </c>
      <c r="D20">
        <f t="shared" si="5"/>
        <v>1.55025471782675</v>
      </c>
      <c r="E20">
        <f t="shared" si="5"/>
        <v>1.90360106342149</v>
      </c>
      <c r="F20">
        <f t="shared" si="5"/>
        <v>0.578726845675187</v>
      </c>
      <c r="G20">
        <f t="shared" si="5"/>
        <v>0.585273529449793</v>
      </c>
      <c r="H20">
        <f t="shared" si="5"/>
        <v>0.222325380985626</v>
      </c>
      <c r="I20">
        <f t="shared" si="5"/>
        <v>0.581633573271112</v>
      </c>
      <c r="K20">
        <v>1365.24</v>
      </c>
    </row>
    <row r="21" spans="2:11">
      <c r="B21">
        <f t="shared" ref="B21:I21" si="6">B8/$B$13</f>
        <v>0.599087032214212</v>
      </c>
      <c r="C21">
        <f t="shared" si="6"/>
        <v>2.07652080418809</v>
      </c>
      <c r="D21">
        <f t="shared" si="6"/>
        <v>1.57687789851014</v>
      </c>
      <c r="E21">
        <f t="shared" si="6"/>
        <v>1.91071512645656</v>
      </c>
      <c r="F21">
        <f t="shared" si="6"/>
        <v>0.574798835410423</v>
      </c>
      <c r="G21">
        <f t="shared" si="6"/>
        <v>0.583527747109898</v>
      </c>
      <c r="H21">
        <f t="shared" si="6"/>
        <v>0.224507608910495</v>
      </c>
      <c r="I21">
        <f t="shared" si="6"/>
        <v>0.589109886141712</v>
      </c>
      <c r="K21">
        <v>1372.65</v>
      </c>
    </row>
    <row r="22" spans="2:11">
      <c r="B22">
        <f t="shared" ref="B22:I22" si="7">B9/$B$13</f>
        <v>0.600400733424983</v>
      </c>
      <c r="C22">
        <f t="shared" si="7"/>
        <v>2.07350932965177</v>
      </c>
      <c r="D22">
        <f t="shared" si="7"/>
        <v>1.6109206541381</v>
      </c>
      <c r="E22">
        <f t="shared" si="7"/>
        <v>1.91394482378537</v>
      </c>
      <c r="F22">
        <f t="shared" si="7"/>
        <v>0.569125042805765</v>
      </c>
      <c r="G22">
        <f t="shared" si="7"/>
        <v>0.583527747109898</v>
      </c>
      <c r="H22">
        <f t="shared" si="7"/>
        <v>0.226235933426991</v>
      </c>
      <c r="I22">
        <f t="shared" si="7"/>
        <v>0.586561043925466</v>
      </c>
      <c r="K22">
        <v>1375.66</v>
      </c>
    </row>
    <row r="23" spans="2:11">
      <c r="B23">
        <f t="shared" ref="B23:I23" si="8">B10/$B$13</f>
        <v>0.600636414040869</v>
      </c>
      <c r="C23">
        <f t="shared" si="8"/>
        <v>2.07102158981742</v>
      </c>
      <c r="D23">
        <f t="shared" si="8"/>
        <v>1.645836300936</v>
      </c>
      <c r="E23">
        <f t="shared" si="8"/>
        <v>1.9133774445249</v>
      </c>
      <c r="F23">
        <f t="shared" si="8"/>
        <v>0.555158784086605</v>
      </c>
      <c r="G23">
        <f t="shared" si="8"/>
        <v>0.581781964770003</v>
      </c>
      <c r="H23">
        <f t="shared" si="8"/>
        <v>0.228391974616761</v>
      </c>
      <c r="I23">
        <f t="shared" si="8"/>
        <v>0.591409954374524</v>
      </c>
      <c r="K23">
        <v>1376.2</v>
      </c>
    </row>
    <row r="24" spans="2:11">
      <c r="B24">
        <f t="shared" ref="B24:I24" si="9">B11/$B$13</f>
        <v>0.599676233753927</v>
      </c>
      <c r="C24">
        <f t="shared" si="9"/>
        <v>2.13552824727654</v>
      </c>
      <c r="D24">
        <f t="shared" si="9"/>
        <v>1.68337062124374</v>
      </c>
      <c r="E24">
        <f t="shared" si="9"/>
        <v>1.41539303206986</v>
      </c>
      <c r="F24">
        <f t="shared" si="9"/>
        <v>0.542065416537392</v>
      </c>
      <c r="G24">
        <f t="shared" si="9"/>
        <v>0.580909073600056</v>
      </c>
      <c r="H24">
        <f t="shared" si="9"/>
        <v>0.244016726558821</v>
      </c>
      <c r="I24">
        <f t="shared" si="9"/>
        <v>0.597524557020006</v>
      </c>
      <c r="K24">
        <v>1374</v>
      </c>
    </row>
    <row r="25" spans="11:11">
      <c r="K25">
        <v>4758.23</v>
      </c>
    </row>
    <row r="26" spans="11:11">
      <c r="K26">
        <v>4759.53</v>
      </c>
    </row>
    <row r="27" spans="11:11">
      <c r="K27">
        <v>4759.89</v>
      </c>
    </row>
    <row r="28" spans="11:11">
      <c r="K28">
        <v>4760.83</v>
      </c>
    </row>
    <row r="29" spans="11:11">
      <c r="K29">
        <v>4758.5</v>
      </c>
    </row>
    <row r="30" spans="11:11">
      <c r="K30">
        <v>4756.22</v>
      </c>
    </row>
    <row r="31" spans="11:11">
      <c r="K31">
        <v>4757.8</v>
      </c>
    </row>
    <row r="32" spans="11:11">
      <c r="K32">
        <v>4750.9</v>
      </c>
    </row>
    <row r="33" spans="11:11">
      <c r="K33">
        <v>4745.2</v>
      </c>
    </row>
    <row r="34" spans="11:11">
      <c r="K34">
        <v>4893</v>
      </c>
    </row>
    <row r="35" spans="11:11">
      <c r="K35">
        <v>3385</v>
      </c>
    </row>
    <row r="36" spans="11:11">
      <c r="K36">
        <v>3407</v>
      </c>
    </row>
    <row r="37" spans="11:11">
      <c r="K37">
        <v>3436</v>
      </c>
    </row>
    <row r="38" spans="11:11">
      <c r="K38">
        <v>3459</v>
      </c>
    </row>
    <row r="39" spans="11:11">
      <c r="K39">
        <v>3505</v>
      </c>
    </row>
    <row r="40" spans="11:11">
      <c r="K40">
        <v>3552</v>
      </c>
    </row>
    <row r="41" spans="11:11">
      <c r="K41">
        <v>3613</v>
      </c>
    </row>
    <row r="42" spans="11:11">
      <c r="K42">
        <v>3691</v>
      </c>
    </row>
    <row r="43" spans="11:11">
      <c r="K43">
        <v>3771</v>
      </c>
    </row>
    <row r="44" spans="11:11">
      <c r="K44">
        <v>3857</v>
      </c>
    </row>
    <row r="45" spans="11:11">
      <c r="K45">
        <v>4120.9</v>
      </c>
    </row>
    <row r="46" spans="11:11">
      <c r="K46">
        <v>4206.8</v>
      </c>
    </row>
    <row r="47" spans="11:11">
      <c r="K47">
        <v>4275.9</v>
      </c>
    </row>
    <row r="48" spans="11:11">
      <c r="K48">
        <v>4311</v>
      </c>
    </row>
    <row r="49" spans="11:11">
      <c r="K49">
        <v>4342.1</v>
      </c>
    </row>
    <row r="50" spans="11:11">
      <c r="K50">
        <v>4361.6</v>
      </c>
    </row>
    <row r="51" spans="11:11">
      <c r="K51">
        <v>4377.9</v>
      </c>
    </row>
    <row r="52" spans="11:11">
      <c r="K52">
        <v>4385.3</v>
      </c>
    </row>
    <row r="53" spans="11:11">
      <c r="K53">
        <v>4384</v>
      </c>
    </row>
    <row r="54" spans="11:11">
      <c r="K54">
        <v>3243</v>
      </c>
    </row>
    <row r="55" spans="11:11">
      <c r="K55">
        <v>1388</v>
      </c>
    </row>
    <row r="56" spans="11:11">
      <c r="K56">
        <v>1379</v>
      </c>
    </row>
    <row r="57" spans="11:11">
      <c r="K57">
        <v>1370</v>
      </c>
    </row>
    <row r="58" spans="11:11">
      <c r="K58">
        <v>1360</v>
      </c>
    </row>
    <row r="59" spans="11:11">
      <c r="K59">
        <v>1351</v>
      </c>
    </row>
    <row r="60" spans="11:11">
      <c r="K60">
        <v>1326</v>
      </c>
    </row>
    <row r="61" spans="11:11">
      <c r="K61">
        <v>1317</v>
      </c>
    </row>
    <row r="62" spans="11:11">
      <c r="K62">
        <v>1304</v>
      </c>
    </row>
    <row r="63" spans="11:11">
      <c r="K63">
        <v>1272</v>
      </c>
    </row>
    <row r="64" spans="11:11">
      <c r="K64">
        <v>1242</v>
      </c>
    </row>
    <row r="65" spans="11:11">
      <c r="K65">
        <v>1379</v>
      </c>
    </row>
    <row r="66" spans="11:11">
      <c r="K66">
        <v>1358</v>
      </c>
    </row>
    <row r="67" spans="11:11">
      <c r="K67">
        <v>1352</v>
      </c>
    </row>
    <row r="68" spans="11:11">
      <c r="K68">
        <v>1348</v>
      </c>
    </row>
    <row r="69" spans="11:11">
      <c r="K69">
        <v>1346</v>
      </c>
    </row>
    <row r="70" spans="11:11">
      <c r="K70">
        <v>1341</v>
      </c>
    </row>
    <row r="71" spans="11:11">
      <c r="K71">
        <v>1337</v>
      </c>
    </row>
    <row r="72" spans="11:11">
      <c r="K72">
        <v>1337</v>
      </c>
    </row>
    <row r="73" spans="11:11">
      <c r="K73">
        <v>1333</v>
      </c>
    </row>
    <row r="74" spans="11:11">
      <c r="K74">
        <v>1331</v>
      </c>
    </row>
    <row r="75" spans="11:11">
      <c r="K75">
        <v>478.5</v>
      </c>
    </row>
    <row r="76" spans="11:11">
      <c r="K76">
        <v>487.9</v>
      </c>
    </row>
    <row r="77" spans="11:11">
      <c r="K77">
        <v>494</v>
      </c>
    </row>
    <row r="78" spans="11:11">
      <c r="K78">
        <v>499.15</v>
      </c>
    </row>
    <row r="79" spans="11:11">
      <c r="K79">
        <v>503.1</v>
      </c>
    </row>
    <row r="80" spans="11:11">
      <c r="K80">
        <v>509.4</v>
      </c>
    </row>
    <row r="81" spans="11:11">
      <c r="K81">
        <v>514.4</v>
      </c>
    </row>
    <row r="82" spans="11:11">
      <c r="K82">
        <v>518.36</v>
      </c>
    </row>
    <row r="83" spans="11:11">
      <c r="K83">
        <v>523.3</v>
      </c>
    </row>
    <row r="84" spans="11:11">
      <c r="K84">
        <v>559.1</v>
      </c>
    </row>
    <row r="85" spans="11:11">
      <c r="K85">
        <v>1246.12</v>
      </c>
    </row>
    <row r="86" spans="11:11">
      <c r="K86">
        <v>1257.85</v>
      </c>
    </row>
    <row r="87" spans="11:11">
      <c r="K87">
        <v>1271.9</v>
      </c>
    </row>
    <row r="88" spans="11:11">
      <c r="K88">
        <v>1276.21</v>
      </c>
    </row>
    <row r="89" spans="11:11">
      <c r="K89">
        <v>1305.42</v>
      </c>
    </row>
    <row r="90" spans="11:11">
      <c r="K90">
        <v>1332.66</v>
      </c>
    </row>
    <row r="91" spans="11:11">
      <c r="K91">
        <v>1349.79</v>
      </c>
    </row>
    <row r="92" spans="11:11">
      <c r="K92">
        <v>1343.95</v>
      </c>
    </row>
    <row r="93" spans="11:11">
      <c r="K93">
        <v>1355.06</v>
      </c>
    </row>
    <row r="94" spans="11:11">
      <c r="K94">
        <v>1369.07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4"/>
  <sheetViews>
    <sheetView workbookViewId="0">
      <selection activeCell="I2" sqref="I2:I11"/>
    </sheetView>
  </sheetViews>
  <sheetFormatPr defaultColWidth="8.775" defaultRowHeight="14"/>
  <sheetData>
    <row r="1" spans="1:12">
      <c r="A1" s="9"/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/>
      <c r="K1" s="9"/>
      <c r="L1" t="s">
        <v>10</v>
      </c>
    </row>
    <row r="2" spans="1:11">
      <c r="A2" s="7">
        <v>40908</v>
      </c>
      <c r="B2" s="9">
        <v>10489.09</v>
      </c>
      <c r="C2" s="9">
        <v>27588.97</v>
      </c>
      <c r="D2" s="9">
        <v>17827.27</v>
      </c>
      <c r="E2" s="9">
        <v>10570.23</v>
      </c>
      <c r="F2" s="9">
        <v>16140.03</v>
      </c>
      <c r="G2" s="9">
        <v>6393.69</v>
      </c>
      <c r="H2" s="9">
        <v>4719.9</v>
      </c>
      <c r="I2" s="9">
        <v>9474.5</v>
      </c>
      <c r="J2" s="9"/>
      <c r="K2" s="9"/>
    </row>
    <row r="3" spans="1:11">
      <c r="A3" s="7">
        <v>41274</v>
      </c>
      <c r="B3" s="9">
        <v>10573</v>
      </c>
      <c r="C3" s="9">
        <v>28849.84</v>
      </c>
      <c r="D3" s="9">
        <v>18076.18</v>
      </c>
      <c r="E3" s="9">
        <v>11357.95</v>
      </c>
      <c r="F3" s="9">
        <v>16912.92</v>
      </c>
      <c r="G3" s="9">
        <v>6893.76</v>
      </c>
      <c r="H3" s="9">
        <v>4895.2</v>
      </c>
      <c r="I3" s="9">
        <v>11293.7</v>
      </c>
      <c r="J3" s="9"/>
      <c r="K3" s="9"/>
    </row>
    <row r="4" spans="1:11">
      <c r="A4" s="7">
        <v>41639</v>
      </c>
      <c r="B4" s="9">
        <v>10890.39</v>
      </c>
      <c r="C4" s="9">
        <v>29205.38</v>
      </c>
      <c r="D4" s="9">
        <v>18640</v>
      </c>
      <c r="E4" s="9">
        <v>12060.36</v>
      </c>
      <c r="F4" s="9">
        <v>17544.17</v>
      </c>
      <c r="G4" s="9">
        <v>7286.72</v>
      </c>
      <c r="H4" s="9">
        <v>5186.8</v>
      </c>
      <c r="I4" s="9">
        <v>13631.8</v>
      </c>
      <c r="J4" s="9"/>
      <c r="K4" s="9"/>
    </row>
    <row r="5" spans="1:11">
      <c r="A5" s="7">
        <v>42004</v>
      </c>
      <c r="B5" s="9">
        <v>10639.86</v>
      </c>
      <c r="C5" s="9">
        <v>29863.03</v>
      </c>
      <c r="D5" s="9">
        <v>18826</v>
      </c>
      <c r="E5" s="9">
        <v>12011.02</v>
      </c>
      <c r="F5" s="9">
        <v>18167.46</v>
      </c>
      <c r="G5" s="9">
        <v>7521.45</v>
      </c>
      <c r="H5" s="9">
        <v>5336.2</v>
      </c>
      <c r="I5" s="9">
        <v>14926.1</v>
      </c>
      <c r="J5" s="9"/>
      <c r="K5" s="9"/>
    </row>
    <row r="6" spans="1:11">
      <c r="A6" s="7">
        <v>42369</v>
      </c>
      <c r="B6" s="9">
        <v>10930.53</v>
      </c>
      <c r="C6" s="9">
        <v>30374.14</v>
      </c>
      <c r="D6" s="9">
        <v>19610</v>
      </c>
      <c r="E6" s="9">
        <v>12301.23</v>
      </c>
      <c r="F6" s="9">
        <v>18783.71</v>
      </c>
      <c r="G6" s="9">
        <v>7488.5</v>
      </c>
      <c r="H6" s="9">
        <v>5711.9</v>
      </c>
      <c r="I6" s="9">
        <v>15666.1</v>
      </c>
      <c r="J6" s="9"/>
      <c r="K6" s="9"/>
    </row>
    <row r="7" spans="1:11">
      <c r="A7" s="7">
        <v>42735</v>
      </c>
      <c r="B7" s="9">
        <v>11241.73</v>
      </c>
      <c r="C7" s="9">
        <v>31209.71</v>
      </c>
      <c r="D7" s="9">
        <v>20275.6</v>
      </c>
      <c r="E7" s="9">
        <v>12662.89</v>
      </c>
      <c r="F7" s="9">
        <v>19309.66</v>
      </c>
      <c r="G7" s="9">
        <v>7299.93</v>
      </c>
      <c r="H7" s="9">
        <v>5787.5</v>
      </c>
      <c r="I7" s="9">
        <v>16302.2</v>
      </c>
      <c r="J7" s="9"/>
      <c r="K7" s="9"/>
    </row>
    <row r="8" spans="1:11">
      <c r="A8" s="7">
        <v>43100</v>
      </c>
      <c r="B8" s="9">
        <v>11381.85</v>
      </c>
      <c r="C8" s="9">
        <v>31602.09</v>
      </c>
      <c r="D8" s="9">
        <v>21030.01</v>
      </c>
      <c r="E8" s="9">
        <v>13018.71</v>
      </c>
      <c r="F8" s="9">
        <v>19763.44</v>
      </c>
      <c r="G8" s="9">
        <v>7503.63</v>
      </c>
      <c r="H8" s="9">
        <v>6798.2</v>
      </c>
      <c r="I8" s="9">
        <v>17386.3</v>
      </c>
      <c r="J8" s="9"/>
      <c r="K8" s="9"/>
    </row>
    <row r="9" spans="1:11">
      <c r="A9" s="7">
        <v>43465</v>
      </c>
      <c r="B9" s="9">
        <v>11453.73</v>
      </c>
      <c r="C9" s="9">
        <v>31635.2</v>
      </c>
      <c r="D9" s="9">
        <v>21674.56</v>
      </c>
      <c r="E9" s="9">
        <v>13294.71</v>
      </c>
      <c r="F9" s="9">
        <v>23068.47</v>
      </c>
      <c r="G9" s="9">
        <v>7822.54</v>
      </c>
      <c r="H9" s="9">
        <v>7530.2</v>
      </c>
      <c r="I9" s="9">
        <v>17694</v>
      </c>
      <c r="J9" s="9"/>
      <c r="K9" s="9"/>
    </row>
    <row r="10" spans="1:11">
      <c r="A10" s="7">
        <v>43830</v>
      </c>
      <c r="B10" s="9">
        <v>11696.46</v>
      </c>
      <c r="C10" s="9">
        <v>32525.97</v>
      </c>
      <c r="D10" s="9">
        <v>22393</v>
      </c>
      <c r="E10" s="9">
        <v>13869.73</v>
      </c>
      <c r="F10" s="9">
        <v>25345.57</v>
      </c>
      <c r="G10" s="9">
        <v>7818.02</v>
      </c>
      <c r="H10" s="9">
        <v>8166.7</v>
      </c>
      <c r="I10" s="9">
        <v>18489.8</v>
      </c>
      <c r="J10" s="9"/>
      <c r="K10" s="9"/>
    </row>
    <row r="11" spans="1:11">
      <c r="A11" s="7">
        <v>44196</v>
      </c>
      <c r="B11" s="9">
        <v>11099.59</v>
      </c>
      <c r="C11" s="9">
        <v>32672.49</v>
      </c>
      <c r="D11" s="9">
        <v>24660</v>
      </c>
      <c r="E11" s="9">
        <v>14697.9</v>
      </c>
      <c r="F11" s="9">
        <v>27133.65</v>
      </c>
      <c r="G11" s="9">
        <v>8104.71</v>
      </c>
      <c r="H11" s="9">
        <v>8581.8</v>
      </c>
      <c r="I11" s="9">
        <v>18981.8</v>
      </c>
      <c r="J11" s="9"/>
      <c r="K11" s="9"/>
    </row>
    <row r="12" spans="1:1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>
      <c r="A13" s="9"/>
      <c r="B13" s="9">
        <f>AVERAGE(B2:I11)</f>
        <v>15470.539125</v>
      </c>
      <c r="C13" s="9"/>
      <c r="D13" s="9"/>
      <c r="E13" s="9"/>
      <c r="F13" s="9"/>
      <c r="G13" s="9"/>
      <c r="H13" s="9"/>
      <c r="I13" s="9"/>
      <c r="J13" s="9"/>
      <c r="K13" s="9"/>
    </row>
    <row r="14" spans="1:1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2">
      <c r="A15" s="9"/>
      <c r="B15" s="9">
        <f>B2/$B$13</f>
        <v>0.678004167485663</v>
      </c>
      <c r="C15" s="9">
        <f t="shared" ref="C15:I15" si="0">C2/$B$13</f>
        <v>1.78332311350526</v>
      </c>
      <c r="D15" s="9">
        <f t="shared" si="0"/>
        <v>1.15233669983689</v>
      </c>
      <c r="E15" s="9">
        <f t="shared" si="0"/>
        <v>0.68324897500946</v>
      </c>
      <c r="F15" s="9">
        <f t="shared" si="0"/>
        <v>1.04327521294446</v>
      </c>
      <c r="G15" s="9">
        <f t="shared" si="0"/>
        <v>0.413281654138863</v>
      </c>
      <c r="H15" s="9">
        <f t="shared" si="0"/>
        <v>0.305089561641246</v>
      </c>
      <c r="I15" s="9">
        <f t="shared" si="0"/>
        <v>0.61242209618212</v>
      </c>
      <c r="J15" s="9"/>
      <c r="K15" s="9"/>
      <c r="L15" s="9">
        <v>10489.09</v>
      </c>
    </row>
    <row r="16" spans="1:12">
      <c r="A16" s="9"/>
      <c r="B16" s="9">
        <f t="shared" ref="B16:I16" si="1">B3/$B$13</f>
        <v>0.6834280250075</v>
      </c>
      <c r="C16" s="9">
        <f t="shared" si="1"/>
        <v>1.8648244748872</v>
      </c>
      <c r="D16" s="9">
        <f t="shared" si="1"/>
        <v>1.16842599045494</v>
      </c>
      <c r="E16" s="9">
        <f t="shared" si="1"/>
        <v>0.734166399000656</v>
      </c>
      <c r="F16" s="9">
        <f t="shared" si="1"/>
        <v>1.09323404073677</v>
      </c>
      <c r="G16" s="9">
        <f t="shared" si="1"/>
        <v>0.445605673098998</v>
      </c>
      <c r="H16" s="9">
        <f t="shared" si="1"/>
        <v>0.316420776318615</v>
      </c>
      <c r="I16" s="9">
        <f t="shared" si="1"/>
        <v>0.73001334399198</v>
      </c>
      <c r="J16" s="9"/>
      <c r="K16" s="9"/>
      <c r="L16" s="9">
        <v>10573</v>
      </c>
    </row>
    <row r="17" spans="1:12">
      <c r="A17" s="9"/>
      <c r="B17" s="9">
        <f t="shared" ref="B17:I17" si="2">B4/$B$13</f>
        <v>0.703943793555417</v>
      </c>
      <c r="C17" s="9">
        <f t="shared" si="2"/>
        <v>1.88780622084494</v>
      </c>
      <c r="D17" s="9">
        <f t="shared" si="2"/>
        <v>1.20487074492952</v>
      </c>
      <c r="E17" s="9">
        <f t="shared" si="2"/>
        <v>0.779569470886168</v>
      </c>
      <c r="F17" s="9">
        <f t="shared" si="2"/>
        <v>1.13403740220333</v>
      </c>
      <c r="G17" s="9">
        <f t="shared" si="2"/>
        <v>0.47100621000498</v>
      </c>
      <c r="H17" s="9">
        <f t="shared" si="2"/>
        <v>0.3352695053541</v>
      </c>
      <c r="I17" s="9">
        <f t="shared" si="2"/>
        <v>0.88114576291471</v>
      </c>
      <c r="J17" s="9"/>
      <c r="K17" s="9"/>
      <c r="L17" s="9">
        <v>10890.39</v>
      </c>
    </row>
    <row r="18" spans="2:12">
      <c r="B18" s="9">
        <f t="shared" ref="B18:I18" si="3">B5/$B$13</f>
        <v>0.687749787776061</v>
      </c>
      <c r="C18" s="9">
        <f t="shared" si="3"/>
        <v>1.9303160516069</v>
      </c>
      <c r="D18" s="9">
        <f t="shared" si="3"/>
        <v>1.21689359678343</v>
      </c>
      <c r="E18" s="9">
        <f t="shared" si="3"/>
        <v>0.776380183195458</v>
      </c>
      <c r="F18" s="9">
        <f t="shared" si="3"/>
        <v>1.17432623732174</v>
      </c>
      <c r="G18" s="9">
        <f t="shared" si="3"/>
        <v>0.486178919766638</v>
      </c>
      <c r="H18" s="9">
        <f t="shared" si="3"/>
        <v>0.344926570230305</v>
      </c>
      <c r="I18" s="9">
        <f t="shared" si="3"/>
        <v>0.964808005680927</v>
      </c>
      <c r="L18" s="9">
        <v>10639.86</v>
      </c>
    </row>
    <row r="19" spans="2:12">
      <c r="B19" s="9">
        <f t="shared" ref="B19:I19" si="4">B6/$B$13</f>
        <v>0.706538402552277</v>
      </c>
      <c r="C19" s="9">
        <f t="shared" si="4"/>
        <v>1.96335368499965</v>
      </c>
      <c r="D19" s="9">
        <f t="shared" si="4"/>
        <v>1.26757056373755</v>
      </c>
      <c r="E19" s="9">
        <f t="shared" si="4"/>
        <v>0.795139064036982</v>
      </c>
      <c r="F19" s="9">
        <f t="shared" si="4"/>
        <v>1.21416001396138</v>
      </c>
      <c r="G19" s="9">
        <f t="shared" si="4"/>
        <v>0.484049065096818</v>
      </c>
      <c r="H19" s="9">
        <f t="shared" si="4"/>
        <v>0.369211438195435</v>
      </c>
      <c r="I19" s="9">
        <f t="shared" si="4"/>
        <v>1.01264085714272</v>
      </c>
      <c r="L19" s="9">
        <v>10930.53</v>
      </c>
    </row>
    <row r="20" spans="2:12">
      <c r="B20" s="9">
        <f t="shared" ref="B20:I20" si="5">B7/$B$13</f>
        <v>0.726654055761615</v>
      </c>
      <c r="C20" s="9">
        <f t="shared" si="5"/>
        <v>2.01736408458875</v>
      </c>
      <c r="D20" s="9">
        <f t="shared" si="5"/>
        <v>1.31059427445778</v>
      </c>
      <c r="E20" s="9">
        <f t="shared" si="5"/>
        <v>0.818516400604106</v>
      </c>
      <c r="F20" s="9">
        <f t="shared" si="5"/>
        <v>1.2481568899429</v>
      </c>
      <c r="G20" s="9">
        <f t="shared" si="5"/>
        <v>0.471860091042561</v>
      </c>
      <c r="H20" s="9">
        <f t="shared" si="5"/>
        <v>0.374098145723154</v>
      </c>
      <c r="I20" s="9">
        <f t="shared" si="5"/>
        <v>1.05375771770333</v>
      </c>
      <c r="L20" s="9">
        <v>11241.73</v>
      </c>
    </row>
    <row r="21" spans="2:12">
      <c r="B21" s="9">
        <f t="shared" ref="B21:I21" si="6">B8/$B$13</f>
        <v>0.735711270824895</v>
      </c>
      <c r="C21" s="9">
        <f t="shared" si="6"/>
        <v>2.04272713088142</v>
      </c>
      <c r="D21" s="9">
        <f t="shared" si="6"/>
        <v>1.35935857374331</v>
      </c>
      <c r="E21" s="9">
        <f t="shared" si="6"/>
        <v>0.841516245478614</v>
      </c>
      <c r="F21" s="9">
        <f t="shared" si="6"/>
        <v>1.27748877012714</v>
      </c>
      <c r="G21" s="9">
        <f t="shared" si="6"/>
        <v>0.485027052992247</v>
      </c>
      <c r="H21" s="9">
        <f t="shared" si="6"/>
        <v>0.43942877136158</v>
      </c>
      <c r="I21" s="9">
        <f t="shared" si="6"/>
        <v>1.12383284509485</v>
      </c>
      <c r="L21" s="9">
        <v>11381.85</v>
      </c>
    </row>
    <row r="22" spans="2:12">
      <c r="B22" s="9">
        <f t="shared" ref="B22:I22" si="7">B9/$B$13</f>
        <v>0.740357521315535</v>
      </c>
      <c r="C22" s="9">
        <f t="shared" si="7"/>
        <v>2.04486732778939</v>
      </c>
      <c r="D22" s="9">
        <f t="shared" si="7"/>
        <v>1.40102163375641</v>
      </c>
      <c r="E22" s="9">
        <f t="shared" si="7"/>
        <v>0.859356606294094</v>
      </c>
      <c r="F22" s="9">
        <f t="shared" si="7"/>
        <v>1.49112256616332</v>
      </c>
      <c r="G22" s="9">
        <f t="shared" si="7"/>
        <v>0.505641072802626</v>
      </c>
      <c r="H22" s="9">
        <f t="shared" si="7"/>
        <v>0.486744510915679</v>
      </c>
      <c r="I22" s="9">
        <f t="shared" si="7"/>
        <v>1.14372226184458</v>
      </c>
      <c r="L22" s="9">
        <v>11453.73</v>
      </c>
    </row>
    <row r="23" spans="2:12">
      <c r="B23" s="9">
        <f t="shared" ref="B23:I23" si="8">B10/$B$13</f>
        <v>0.756047342984888</v>
      </c>
      <c r="C23" s="9">
        <f t="shared" si="8"/>
        <v>2.10244579954159</v>
      </c>
      <c r="D23" s="9">
        <f t="shared" si="8"/>
        <v>1.44746086862697</v>
      </c>
      <c r="E23" s="9">
        <f t="shared" si="8"/>
        <v>0.896525317439447</v>
      </c>
      <c r="F23" s="9">
        <f t="shared" si="8"/>
        <v>1.63831200678987</v>
      </c>
      <c r="G23" s="9">
        <f t="shared" si="8"/>
        <v>0.505348904574779</v>
      </c>
      <c r="H23" s="9">
        <f t="shared" si="8"/>
        <v>0.527887227071668</v>
      </c>
      <c r="I23" s="9">
        <f t="shared" si="8"/>
        <v>1.19516196886254</v>
      </c>
      <c r="L23" s="9">
        <v>11696.46</v>
      </c>
    </row>
    <row r="24" spans="2:12">
      <c r="B24" s="9">
        <f t="shared" ref="B24:I24" si="9">B11/$B$13</f>
        <v>0.717466269941643</v>
      </c>
      <c r="C24" s="9">
        <f t="shared" si="9"/>
        <v>2.11191670413102</v>
      </c>
      <c r="D24" s="9">
        <f t="shared" si="9"/>
        <v>1.59399745547006</v>
      </c>
      <c r="E24" s="9">
        <f t="shared" si="9"/>
        <v>0.950057388513925</v>
      </c>
      <c r="F24" s="9">
        <f t="shared" si="9"/>
        <v>1.7538916892788</v>
      </c>
      <c r="G24" s="9">
        <f t="shared" si="9"/>
        <v>0.523880256176916</v>
      </c>
      <c r="H24" s="9">
        <f t="shared" si="9"/>
        <v>0.554718871182196</v>
      </c>
      <c r="I24" s="9">
        <f t="shared" si="9"/>
        <v>1.22696435118579</v>
      </c>
      <c r="L24" s="9">
        <v>11099.59</v>
      </c>
    </row>
    <row r="25" spans="12:12">
      <c r="L25" s="9">
        <v>27588.97</v>
      </c>
    </row>
    <row r="26" spans="12:12">
      <c r="L26" s="9">
        <v>28849.84</v>
      </c>
    </row>
    <row r="27" spans="12:12">
      <c r="L27" s="9">
        <v>29205.38</v>
      </c>
    </row>
    <row r="28" spans="12:12">
      <c r="L28" s="9">
        <v>29863.03</v>
      </c>
    </row>
    <row r="29" spans="12:12">
      <c r="L29" s="9">
        <v>30374.14</v>
      </c>
    </row>
    <row r="30" spans="12:12">
      <c r="L30" s="9">
        <v>31209.71</v>
      </c>
    </row>
    <row r="31" spans="12:12">
      <c r="L31" s="9">
        <v>31602.09</v>
      </c>
    </row>
    <row r="32" spans="12:12">
      <c r="L32" s="9">
        <v>31635.2</v>
      </c>
    </row>
    <row r="33" spans="12:12">
      <c r="L33" s="9">
        <v>32525.97</v>
      </c>
    </row>
    <row r="34" spans="12:12">
      <c r="L34" s="9">
        <v>32672.49</v>
      </c>
    </row>
    <row r="35" spans="12:12">
      <c r="L35" s="9">
        <v>17827.27</v>
      </c>
    </row>
    <row r="36" spans="12:12">
      <c r="L36" s="9">
        <v>18076.18</v>
      </c>
    </row>
    <row r="37" spans="12:12">
      <c r="L37" s="9">
        <v>18640</v>
      </c>
    </row>
    <row r="38" spans="12:12">
      <c r="L38" s="9">
        <v>18826</v>
      </c>
    </row>
    <row r="39" spans="12:12">
      <c r="L39" s="9">
        <v>19610</v>
      </c>
    </row>
    <row r="40" spans="12:12">
      <c r="L40" s="9">
        <v>20275.6</v>
      </c>
    </row>
    <row r="41" spans="12:12">
      <c r="L41" s="9">
        <v>21030.01</v>
      </c>
    </row>
    <row r="42" spans="12:12">
      <c r="L42" s="9">
        <v>21674.56</v>
      </c>
    </row>
    <row r="43" spans="12:12">
      <c r="L43" s="9">
        <v>22393</v>
      </c>
    </row>
    <row r="44" spans="12:12">
      <c r="L44" s="9">
        <v>24660</v>
      </c>
    </row>
    <row r="45" spans="12:12">
      <c r="L45" s="9">
        <v>10570.23</v>
      </c>
    </row>
    <row r="46" spans="12:12">
      <c r="L46" s="9">
        <v>11357.95</v>
      </c>
    </row>
    <row r="47" spans="12:12">
      <c r="L47" s="9">
        <v>12060.36</v>
      </c>
    </row>
    <row r="48" spans="12:12">
      <c r="L48" s="9">
        <v>12011.02</v>
      </c>
    </row>
    <row r="49" spans="12:12">
      <c r="L49" s="9">
        <v>12301.23</v>
      </c>
    </row>
    <row r="50" spans="12:12">
      <c r="L50" s="9">
        <v>12662.89</v>
      </c>
    </row>
    <row r="51" spans="12:12">
      <c r="L51" s="9">
        <v>13018.71</v>
      </c>
    </row>
    <row r="52" spans="12:12">
      <c r="L52" s="9">
        <v>13294.71</v>
      </c>
    </row>
    <row r="53" spans="12:12">
      <c r="L53" s="9">
        <v>13869.73</v>
      </c>
    </row>
    <row r="54" spans="12:12">
      <c r="L54" s="9">
        <v>14697.9</v>
      </c>
    </row>
    <row r="55" spans="12:12">
      <c r="L55" s="9">
        <v>16140.03</v>
      </c>
    </row>
    <row r="56" spans="12:12">
      <c r="L56" s="9">
        <v>16912.92</v>
      </c>
    </row>
    <row r="57" spans="12:12">
      <c r="L57" s="9">
        <v>17544.17</v>
      </c>
    </row>
    <row r="58" spans="12:12">
      <c r="L58" s="9">
        <v>18167.46</v>
      </c>
    </row>
    <row r="59" spans="12:12">
      <c r="L59" s="9">
        <v>18783.71</v>
      </c>
    </row>
    <row r="60" spans="12:12">
      <c r="L60" s="9">
        <v>19309.66</v>
      </c>
    </row>
    <row r="61" spans="12:12">
      <c r="L61" s="9">
        <v>19763.44</v>
      </c>
    </row>
    <row r="62" spans="12:12">
      <c r="L62" s="9">
        <v>23068.47</v>
      </c>
    </row>
    <row r="63" spans="12:12">
      <c r="L63" s="9">
        <v>25345.57</v>
      </c>
    </row>
    <row r="64" spans="12:12">
      <c r="L64" s="9">
        <v>27133.65</v>
      </c>
    </row>
    <row r="65" spans="12:12">
      <c r="L65" s="9">
        <v>6393.69</v>
      </c>
    </row>
    <row r="66" spans="12:12">
      <c r="L66" s="9">
        <v>6893.76</v>
      </c>
    </row>
    <row r="67" spans="12:12">
      <c r="L67" s="9">
        <v>7286.72</v>
      </c>
    </row>
    <row r="68" spans="12:12">
      <c r="L68" s="9">
        <v>7521.45</v>
      </c>
    </row>
    <row r="69" spans="12:12">
      <c r="L69" s="9">
        <v>7488.5</v>
      </c>
    </row>
    <row r="70" spans="12:12">
      <c r="L70" s="9">
        <v>7299.93</v>
      </c>
    </row>
    <row r="71" spans="12:12">
      <c r="L71" s="9">
        <v>7503.63</v>
      </c>
    </row>
    <row r="72" spans="12:12">
      <c r="L72" s="9">
        <v>7822.54</v>
      </c>
    </row>
    <row r="73" spans="12:12">
      <c r="L73" s="9">
        <v>7818.02</v>
      </c>
    </row>
    <row r="74" spans="12:12">
      <c r="L74" s="9">
        <v>8104.71</v>
      </c>
    </row>
    <row r="75" spans="12:12">
      <c r="L75" s="9">
        <v>4719.9</v>
      </c>
    </row>
    <row r="76" spans="12:12">
      <c r="L76" s="9">
        <v>4895.2</v>
      </c>
    </row>
    <row r="77" spans="12:12">
      <c r="L77" s="9">
        <v>5186.8</v>
      </c>
    </row>
    <row r="78" spans="12:12">
      <c r="L78" s="9">
        <v>5336.2</v>
      </c>
    </row>
    <row r="79" spans="12:12">
      <c r="L79" s="9">
        <v>5711.9</v>
      </c>
    </row>
    <row r="80" spans="12:12">
      <c r="L80" s="9">
        <v>5787.5</v>
      </c>
    </row>
    <row r="81" spans="12:12">
      <c r="L81" s="9">
        <v>6798.2</v>
      </c>
    </row>
    <row r="82" spans="12:12">
      <c r="L82" s="9">
        <v>7530.2</v>
      </c>
    </row>
    <row r="83" spans="12:12">
      <c r="L83" s="9">
        <v>8166.7</v>
      </c>
    </row>
    <row r="84" spans="12:12">
      <c r="L84" s="9">
        <v>8581.8</v>
      </c>
    </row>
    <row r="85" spans="12:12">
      <c r="L85" s="9">
        <v>9474.5</v>
      </c>
    </row>
    <row r="86" spans="12:12">
      <c r="L86" s="9">
        <v>11293.7</v>
      </c>
    </row>
    <row r="87" spans="12:12">
      <c r="L87" s="9">
        <v>13631.8</v>
      </c>
    </row>
    <row r="88" spans="12:12">
      <c r="L88" s="9">
        <v>14926.1</v>
      </c>
    </row>
    <row r="89" spans="12:12">
      <c r="L89" s="9">
        <v>15666.1</v>
      </c>
    </row>
    <row r="90" spans="12:12">
      <c r="L90" s="9">
        <v>16302.2</v>
      </c>
    </row>
    <row r="91" spans="12:12">
      <c r="L91" s="9">
        <v>17386.3</v>
      </c>
    </row>
    <row r="92" spans="12:12">
      <c r="L92" s="9">
        <v>17694</v>
      </c>
    </row>
    <row r="93" spans="12:12">
      <c r="L93" s="9">
        <v>18489.8</v>
      </c>
    </row>
    <row r="94" spans="12:12">
      <c r="L94" s="9">
        <v>18981.8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4"/>
  <sheetViews>
    <sheetView workbookViewId="0">
      <selection activeCell="J2" sqref="J2"/>
    </sheetView>
  </sheetViews>
  <sheetFormatPr defaultColWidth="8.775" defaultRowHeight="14"/>
  <cols>
    <col min="1" max="1" width="9" style="9" customWidth="1"/>
    <col min="2" max="2" width="9.44166666666667" style="9" customWidth="1"/>
    <col min="3" max="5" width="9" style="9" customWidth="1"/>
    <col min="6" max="6" width="12.3333333333333" style="9" customWidth="1"/>
    <col min="7" max="9" width="9" style="9" customWidth="1"/>
    <col min="10" max="16384" width="8.775" style="9"/>
  </cols>
  <sheetData>
    <row r="1" spans="2:11"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K1" s="12" t="s">
        <v>11</v>
      </c>
    </row>
    <row r="2" ht="15.5" spans="1:9">
      <c r="A2" s="7">
        <v>40908</v>
      </c>
      <c r="B2" s="10">
        <v>170.602964113333</v>
      </c>
      <c r="C2" s="10">
        <v>613.10788852</v>
      </c>
      <c r="D2" s="10">
        <v>398.622661</v>
      </c>
      <c r="E2" s="10">
        <v>315.387194186667</v>
      </c>
      <c r="F2" s="10">
        <v>740.516009926666</v>
      </c>
      <c r="G2" s="10">
        <v>169.6941547</v>
      </c>
      <c r="H2" s="10">
        <v>190.948225753333</v>
      </c>
      <c r="I2" s="10">
        <v>286.311098393333</v>
      </c>
    </row>
    <row r="3" ht="15.5" spans="1:9">
      <c r="A3" s="7">
        <v>41274</v>
      </c>
      <c r="B3" s="10">
        <v>168.520721172</v>
      </c>
      <c r="C3" s="10">
        <v>619.988585013333</v>
      </c>
      <c r="D3" s="10">
        <v>383.593455378</v>
      </c>
      <c r="E3" s="10">
        <v>355.906996733333</v>
      </c>
      <c r="F3" s="10">
        <v>788.691673836333</v>
      </c>
      <c r="G3" s="10">
        <v>173.753779086667</v>
      </c>
      <c r="H3" s="10">
        <v>188.569617441279</v>
      </c>
      <c r="I3" s="10">
        <v>333.440799646667</v>
      </c>
    </row>
    <row r="4" ht="15.5" spans="1:9">
      <c r="A4" s="7">
        <v>41639</v>
      </c>
      <c r="B4" s="10">
        <v>181.78292098</v>
      </c>
      <c r="C4" s="10">
        <v>638.440952</v>
      </c>
      <c r="D4" s="10">
        <v>387.560920826667</v>
      </c>
      <c r="E4" s="10">
        <v>387.180040413333</v>
      </c>
      <c r="F4" s="10">
        <v>783.743085486666</v>
      </c>
      <c r="G4" s="10">
        <v>181.466489813333</v>
      </c>
      <c r="H4" s="10">
        <v>187.756074066667</v>
      </c>
      <c r="I4" s="10">
        <v>336.336771553333</v>
      </c>
    </row>
    <row r="5" ht="15.5" spans="1:9">
      <c r="A5" s="7">
        <v>42004</v>
      </c>
      <c r="B5" s="10">
        <v>156.546572718</v>
      </c>
      <c r="C5" s="10">
        <v>621.071174273333</v>
      </c>
      <c r="D5" s="10">
        <v>380.794701654883</v>
      </c>
      <c r="E5" s="10">
        <v>401.79524150701</v>
      </c>
      <c r="F5" s="10">
        <v>806.00009</v>
      </c>
      <c r="G5" s="10">
        <v>180.468552293333</v>
      </c>
      <c r="H5" s="10">
        <v>195.215828807213</v>
      </c>
      <c r="I5" s="10">
        <v>366.259665046667</v>
      </c>
    </row>
    <row r="6" ht="15.5" spans="1:9">
      <c r="A6" s="7">
        <v>42369</v>
      </c>
      <c r="B6" s="10">
        <v>161.6468814</v>
      </c>
      <c r="C6" s="10">
        <v>634.16123836</v>
      </c>
      <c r="D6" s="10">
        <v>381.50131998</v>
      </c>
      <c r="E6" s="10">
        <v>392.848295426667</v>
      </c>
      <c r="F6" s="10">
        <v>753.799941893334</v>
      </c>
      <c r="G6" s="10">
        <v>176.575300766667</v>
      </c>
      <c r="H6" s="10">
        <v>193.378490473333</v>
      </c>
      <c r="I6" s="10">
        <v>379.091800073333</v>
      </c>
    </row>
    <row r="7" ht="15.5" spans="1:9">
      <c r="A7" s="7">
        <v>42735</v>
      </c>
      <c r="B7" s="10">
        <v>158.225226386667</v>
      </c>
      <c r="C7" s="10">
        <v>653.116844646667</v>
      </c>
      <c r="D7" s="10">
        <v>379.176537352796</v>
      </c>
      <c r="E7" s="10">
        <v>380.177314681809</v>
      </c>
      <c r="F7" s="10">
        <v>754.615166564893</v>
      </c>
      <c r="G7" s="10">
        <v>169.7165295</v>
      </c>
      <c r="H7" s="10">
        <v>189.717234268763</v>
      </c>
      <c r="I7" s="10">
        <v>410.853264313333</v>
      </c>
    </row>
    <row r="8" ht="15.5" spans="1:9">
      <c r="A8" s="7">
        <v>43100</v>
      </c>
      <c r="B8" s="10">
        <v>156.578049833333</v>
      </c>
      <c r="C8" s="10">
        <v>645.0487202</v>
      </c>
      <c r="D8" s="10">
        <v>401.44067626407</v>
      </c>
      <c r="E8" s="10">
        <v>397.016382828369</v>
      </c>
      <c r="F8" s="10">
        <v>765.072943113333</v>
      </c>
      <c r="G8" s="10">
        <v>173.986765128496</v>
      </c>
      <c r="H8" s="10">
        <v>226.23797925305</v>
      </c>
      <c r="I8" s="10">
        <v>452.2648373</v>
      </c>
    </row>
    <row r="9" ht="15.5" spans="1:9">
      <c r="A9" s="7">
        <v>43465</v>
      </c>
      <c r="B9" s="10">
        <v>151.47447972</v>
      </c>
      <c r="C9" s="10">
        <v>644.965467726667</v>
      </c>
      <c r="D9" s="10">
        <v>401.65882536</v>
      </c>
      <c r="E9" s="10">
        <v>392.428504106667</v>
      </c>
      <c r="F9" s="10">
        <v>857.573214913333</v>
      </c>
      <c r="G9" s="10">
        <v>182.496485733333</v>
      </c>
      <c r="H9" s="10">
        <v>235.934728093333</v>
      </c>
      <c r="I9" s="10">
        <v>480.946054513333</v>
      </c>
    </row>
    <row r="10" ht="15.5" spans="1:9">
      <c r="A10" s="7">
        <v>43830</v>
      </c>
      <c r="B10" s="10">
        <v>159.497303606667</v>
      </c>
      <c r="C10" s="10">
        <v>636.582048586667</v>
      </c>
      <c r="D10" s="10">
        <v>419.14662584</v>
      </c>
      <c r="E10" s="10">
        <v>398.962470933333</v>
      </c>
      <c r="F10" s="10">
        <v>972.78727886</v>
      </c>
      <c r="G10" s="10">
        <v>185.441376746667</v>
      </c>
      <c r="H10" s="10">
        <v>251.898741255556</v>
      </c>
      <c r="I10" s="10">
        <v>519.305165726667</v>
      </c>
    </row>
    <row r="11" ht="15.5" spans="1:9">
      <c r="A11" s="7">
        <v>44196</v>
      </c>
      <c r="B11" s="10">
        <v>154.626881773333</v>
      </c>
      <c r="C11" s="10">
        <v>628.062528133333</v>
      </c>
      <c r="D11" s="10">
        <v>454.554512266667</v>
      </c>
      <c r="E11" s="10">
        <v>397.170869933333</v>
      </c>
      <c r="F11" s="10">
        <v>1046.66219544667</v>
      </c>
      <c r="G11" s="10">
        <v>195.986526233333</v>
      </c>
      <c r="H11" s="10">
        <v>259.512911477778</v>
      </c>
      <c r="I11" s="10">
        <v>555.4673467</v>
      </c>
    </row>
    <row r="13" spans="2:2">
      <c r="B13" s="9">
        <f>AVERAGE(B2:I11)</f>
        <v>400.743314875462</v>
      </c>
    </row>
    <row r="15" ht="15.5" spans="2:11">
      <c r="B15" s="11">
        <f>B2/$B$13</f>
        <v>0.425716307123804</v>
      </c>
      <c r="C15" s="9">
        <f t="shared" ref="C15:I15" si="0">C2/$B$13</f>
        <v>1.5299266781544</v>
      </c>
      <c r="D15" s="9">
        <f t="shared" si="0"/>
        <v>0.994708198997353</v>
      </c>
      <c r="E15" s="9">
        <f t="shared" si="0"/>
        <v>0.787005503222627</v>
      </c>
      <c r="F15" s="9">
        <f t="shared" si="0"/>
        <v>1.84785617735581</v>
      </c>
      <c r="G15" s="9">
        <f t="shared" si="0"/>
        <v>0.423448497831425</v>
      </c>
      <c r="H15" s="9">
        <f t="shared" si="0"/>
        <v>0.476485118192611</v>
      </c>
      <c r="I15" s="9">
        <f t="shared" si="0"/>
        <v>0.714450092529453</v>
      </c>
      <c r="K15" s="10">
        <v>170.602964113333</v>
      </c>
    </row>
    <row r="16" ht="15.5" spans="2:11">
      <c r="B16" s="9">
        <f t="shared" ref="B16:I16" si="1">B3/$B$13</f>
        <v>0.420520355341101</v>
      </c>
      <c r="C16" s="9">
        <f t="shared" si="1"/>
        <v>1.54709651290379</v>
      </c>
      <c r="D16" s="9">
        <f t="shared" si="1"/>
        <v>0.957204876885366</v>
      </c>
      <c r="E16" s="9">
        <f t="shared" si="1"/>
        <v>0.888117115176176</v>
      </c>
      <c r="F16" s="9">
        <f t="shared" si="1"/>
        <v>1.96807194171519</v>
      </c>
      <c r="G16" s="9">
        <f t="shared" si="1"/>
        <v>0.433578733910168</v>
      </c>
      <c r="H16" s="9">
        <f t="shared" si="1"/>
        <v>0.470549627259236</v>
      </c>
      <c r="I16" s="9">
        <f t="shared" si="1"/>
        <v>0.832055800482384</v>
      </c>
      <c r="K16" s="10">
        <v>168.520721172</v>
      </c>
    </row>
    <row r="17" ht="15.5" spans="2:11">
      <c r="B17" s="9">
        <f t="shared" ref="B17:I17" si="2">B4/$B$13</f>
        <v>0.45361435670235</v>
      </c>
      <c r="C17" s="9">
        <f t="shared" si="2"/>
        <v>1.59314186488278</v>
      </c>
      <c r="D17" s="9">
        <f t="shared" si="2"/>
        <v>0.967105142969404</v>
      </c>
      <c r="E17" s="9">
        <f t="shared" si="2"/>
        <v>0.966154708116981</v>
      </c>
      <c r="F17" s="9">
        <f t="shared" si="2"/>
        <v>1.95572341794455</v>
      </c>
      <c r="G17" s="9">
        <f t="shared" si="2"/>
        <v>0.452824746108933</v>
      </c>
      <c r="H17" s="9">
        <f t="shared" si="2"/>
        <v>0.468519541305424</v>
      </c>
      <c r="I17" s="9">
        <f t="shared" si="2"/>
        <v>0.839282301335098</v>
      </c>
      <c r="K17" s="10">
        <v>181.78292098</v>
      </c>
    </row>
    <row r="18" ht="15.5" spans="2:11">
      <c r="B18" s="9">
        <f t="shared" ref="B18:I18" si="3">B5/$B$13</f>
        <v>0.390640509540751</v>
      </c>
      <c r="C18" s="9">
        <f t="shared" si="3"/>
        <v>1.54979796597815</v>
      </c>
      <c r="D18" s="9">
        <f t="shared" si="3"/>
        <v>0.950220970681001</v>
      </c>
      <c r="E18" s="9">
        <f t="shared" si="3"/>
        <v>1.00262493868893</v>
      </c>
      <c r="F18" s="9">
        <f t="shared" si="3"/>
        <v>2.01126272125208</v>
      </c>
      <c r="G18" s="9">
        <f t="shared" si="3"/>
        <v>0.450334529845912</v>
      </c>
      <c r="H18" s="9">
        <f t="shared" si="3"/>
        <v>0.487134336521322</v>
      </c>
      <c r="I18" s="9">
        <f t="shared" si="3"/>
        <v>0.91395077959189</v>
      </c>
      <c r="K18" s="10">
        <v>156.546572718</v>
      </c>
    </row>
    <row r="19" ht="15.5" spans="2:11">
      <c r="B19" s="9">
        <f t="shared" ref="B19:I19" si="4">B6/$B$13</f>
        <v>0.403367630599738</v>
      </c>
      <c r="C19" s="9">
        <f t="shared" si="4"/>
        <v>1.58246242624678</v>
      </c>
      <c r="D19" s="9">
        <f t="shared" si="4"/>
        <v>0.951984239833316</v>
      </c>
      <c r="E19" s="11">
        <f t="shared" si="4"/>
        <v>0.980299061379854</v>
      </c>
      <c r="F19" s="9">
        <f t="shared" si="4"/>
        <v>1.88100440833951</v>
      </c>
      <c r="G19" s="9">
        <f t="shared" si="4"/>
        <v>0.440619454429428</v>
      </c>
      <c r="H19" s="9">
        <f t="shared" si="4"/>
        <v>0.482549510609875</v>
      </c>
      <c r="I19" s="9">
        <f t="shared" si="4"/>
        <v>0.945971613253593</v>
      </c>
      <c r="K19" s="10">
        <v>161.6468814</v>
      </c>
    </row>
    <row r="20" ht="15.5" spans="2:11">
      <c r="B20" s="9">
        <f t="shared" ref="B20:I20" si="5">B7/$B$13</f>
        <v>0.394829359625969</v>
      </c>
      <c r="C20" s="9">
        <f t="shared" si="5"/>
        <v>1.62976354290435</v>
      </c>
      <c r="D20" s="9">
        <f t="shared" si="5"/>
        <v>0.946183063516935</v>
      </c>
      <c r="E20" s="9">
        <f t="shared" si="5"/>
        <v>0.948680366134006</v>
      </c>
      <c r="F20" s="9">
        <f t="shared" si="5"/>
        <v>1.88303868973935</v>
      </c>
      <c r="G20" s="9">
        <f t="shared" si="5"/>
        <v>0.423504331077219</v>
      </c>
      <c r="H20" s="9">
        <f t="shared" si="5"/>
        <v>0.473413347712915</v>
      </c>
      <c r="I20" s="9">
        <f t="shared" si="5"/>
        <v>1.02522799273898</v>
      </c>
      <c r="K20" s="10">
        <v>158.225226386667</v>
      </c>
    </row>
    <row r="21" ht="15.5" spans="2:11">
      <c r="B21" s="9">
        <f t="shared" ref="B21:I21" si="6">B8/$B$13</f>
        <v>0.390719056366524</v>
      </c>
      <c r="C21" s="9">
        <f t="shared" si="6"/>
        <v>1.60963064449487</v>
      </c>
      <c r="D21" s="9">
        <f t="shared" si="6"/>
        <v>1.00174016973639</v>
      </c>
      <c r="E21" s="9">
        <f t="shared" si="6"/>
        <v>0.990699952042242</v>
      </c>
      <c r="F21" s="9">
        <f t="shared" si="6"/>
        <v>1.90913463734534</v>
      </c>
      <c r="G21" s="9">
        <f t="shared" si="6"/>
        <v>0.434160118634957</v>
      </c>
      <c r="H21" s="9">
        <f t="shared" si="6"/>
        <v>0.564545859793962</v>
      </c>
      <c r="I21" s="9">
        <f t="shared" si="6"/>
        <v>1.12856489556301</v>
      </c>
      <c r="K21" s="10">
        <v>156.578049833333</v>
      </c>
    </row>
    <row r="22" ht="15.5" spans="2:11">
      <c r="B22" s="9">
        <f t="shared" ref="B22:I22" si="7">B9/$B$13</f>
        <v>0.377983796852789</v>
      </c>
      <c r="C22" s="9">
        <f t="shared" si="7"/>
        <v>1.60942289936165</v>
      </c>
      <c r="D22" s="9">
        <f t="shared" si="7"/>
        <v>1.00228453089685</v>
      </c>
      <c r="E22" s="9">
        <f t="shared" si="7"/>
        <v>0.979251529694564</v>
      </c>
      <c r="F22" s="9">
        <f t="shared" si="7"/>
        <v>2.13995638375113</v>
      </c>
      <c r="G22" s="9">
        <f t="shared" si="7"/>
        <v>0.455394959713919</v>
      </c>
      <c r="H22" s="9">
        <f t="shared" si="7"/>
        <v>0.588742767091833</v>
      </c>
      <c r="I22" s="9">
        <f t="shared" si="7"/>
        <v>1.20013494089801</v>
      </c>
      <c r="K22" s="10">
        <v>151.47447972</v>
      </c>
    </row>
    <row r="23" ht="15.5" spans="2:11">
      <c r="B23" s="9">
        <f t="shared" ref="B23:I23" si="8">B10/$B$13</f>
        <v>0.398003653925539</v>
      </c>
      <c r="C23" s="9">
        <f t="shared" si="8"/>
        <v>1.58850322627215</v>
      </c>
      <c r="D23" s="9">
        <f t="shared" si="8"/>
        <v>1.04592293940139</v>
      </c>
      <c r="E23" s="9">
        <f t="shared" si="8"/>
        <v>0.995556148097736</v>
      </c>
      <c r="F23" s="9">
        <f t="shared" si="8"/>
        <v>2.42745728437743</v>
      </c>
      <c r="G23" s="9">
        <f t="shared" si="8"/>
        <v>0.462743531490465</v>
      </c>
      <c r="H23" s="9">
        <f t="shared" si="8"/>
        <v>0.628578773257484</v>
      </c>
      <c r="I23" s="9">
        <f t="shared" si="8"/>
        <v>1.29585484386196</v>
      </c>
      <c r="K23" s="10">
        <v>159.497303606667</v>
      </c>
    </row>
    <row r="24" ht="15.5" spans="2:11">
      <c r="B24" s="9">
        <f t="shared" ref="B24:I24" si="9">B11/$B$13</f>
        <v>0.385850183979704</v>
      </c>
      <c r="C24" s="9">
        <f t="shared" si="9"/>
        <v>1.56724393101483</v>
      </c>
      <c r="D24" s="9">
        <f t="shared" si="9"/>
        <v>1.13427846552581</v>
      </c>
      <c r="E24" s="9">
        <f t="shared" si="9"/>
        <v>0.991085453432358</v>
      </c>
      <c r="F24" s="9">
        <f t="shared" si="9"/>
        <v>2.61180201040143</v>
      </c>
      <c r="G24" s="9">
        <f t="shared" si="9"/>
        <v>0.489057506284889</v>
      </c>
      <c r="H24" s="9">
        <f t="shared" si="9"/>
        <v>0.6475788911374</v>
      </c>
      <c r="I24" s="9">
        <f t="shared" si="9"/>
        <v>1.38609260861312</v>
      </c>
      <c r="K24" s="10">
        <v>154.626881773333</v>
      </c>
    </row>
    <row r="25" ht="15.5" spans="11:11">
      <c r="K25" s="10">
        <v>613.10788852</v>
      </c>
    </row>
    <row r="26" ht="15.5" spans="11:11">
      <c r="K26" s="10">
        <v>619.988585013333</v>
      </c>
    </row>
    <row r="27" ht="15.5" spans="11:11">
      <c r="K27" s="10">
        <v>638.440952</v>
      </c>
    </row>
    <row r="28" ht="15.5" spans="11:11">
      <c r="K28" s="10">
        <v>621.071174273333</v>
      </c>
    </row>
    <row r="29" ht="15.5" spans="11:11">
      <c r="K29" s="10">
        <v>634.16123836</v>
      </c>
    </row>
    <row r="30" ht="15.5" spans="11:11">
      <c r="K30" s="10">
        <v>653.116844646667</v>
      </c>
    </row>
    <row r="31" ht="15.5" spans="11:11">
      <c r="K31" s="10">
        <v>645.0487202</v>
      </c>
    </row>
    <row r="32" ht="15.5" spans="11:11">
      <c r="K32" s="10">
        <v>644.965467726667</v>
      </c>
    </row>
    <row r="33" ht="15.5" spans="11:11">
      <c r="K33" s="10">
        <v>636.582048586667</v>
      </c>
    </row>
    <row r="34" ht="15.5" spans="11:11">
      <c r="K34" s="10">
        <v>628.062528133333</v>
      </c>
    </row>
    <row r="35" ht="15.5" spans="11:11">
      <c r="K35" s="10">
        <v>398.622661</v>
      </c>
    </row>
    <row r="36" ht="15.5" spans="11:11">
      <c r="K36" s="10">
        <v>383.593455378</v>
      </c>
    </row>
    <row r="37" ht="15.5" spans="11:11">
      <c r="K37" s="10">
        <v>387.560920826667</v>
      </c>
    </row>
    <row r="38" ht="15.5" spans="11:11">
      <c r="K38" s="10">
        <v>380.794701654883</v>
      </c>
    </row>
    <row r="39" ht="15.5" spans="11:11">
      <c r="K39" s="10">
        <v>381.50131998</v>
      </c>
    </row>
    <row r="40" ht="15.5" spans="11:11">
      <c r="K40" s="10">
        <v>379.176537352796</v>
      </c>
    </row>
    <row r="41" ht="15.5" spans="11:11">
      <c r="K41" s="10">
        <v>401.44067626407</v>
      </c>
    </row>
    <row r="42" ht="15.5" spans="11:11">
      <c r="K42" s="10">
        <v>401.65882536</v>
      </c>
    </row>
    <row r="43" ht="15.5" spans="11:11">
      <c r="K43" s="10">
        <v>419.14662584</v>
      </c>
    </row>
    <row r="44" ht="15.5" spans="11:11">
      <c r="K44" s="10">
        <v>454.554512266667</v>
      </c>
    </row>
    <row r="45" ht="15.5" spans="11:11">
      <c r="K45" s="10">
        <v>315.387194186667</v>
      </c>
    </row>
    <row r="46" ht="15.5" spans="11:11">
      <c r="K46" s="10">
        <v>355.906996733333</v>
      </c>
    </row>
    <row r="47" ht="15.5" spans="11:11">
      <c r="K47" s="10">
        <v>387.180040413333</v>
      </c>
    </row>
    <row r="48" ht="15.5" spans="11:11">
      <c r="K48" s="10">
        <v>401.79524150701</v>
      </c>
    </row>
    <row r="49" ht="15.5" spans="11:11">
      <c r="K49" s="10">
        <v>392.848295426667</v>
      </c>
    </row>
    <row r="50" ht="15.5" spans="11:11">
      <c r="K50" s="10">
        <v>380.177314681809</v>
      </c>
    </row>
    <row r="51" ht="15.5" spans="11:11">
      <c r="K51" s="10">
        <v>397.016382828369</v>
      </c>
    </row>
    <row r="52" ht="15.5" spans="11:11">
      <c r="K52" s="10">
        <v>392.428504106667</v>
      </c>
    </row>
    <row r="53" ht="15.5" spans="11:11">
      <c r="K53" s="10">
        <v>398.962470933333</v>
      </c>
    </row>
    <row r="54" ht="15.5" spans="11:11">
      <c r="K54" s="10">
        <v>397.170869933333</v>
      </c>
    </row>
    <row r="55" ht="15.5" spans="11:11">
      <c r="K55" s="10">
        <v>740.516009926666</v>
      </c>
    </row>
    <row r="56" ht="15.5" spans="11:11">
      <c r="K56" s="10">
        <v>788.691673836333</v>
      </c>
    </row>
    <row r="57" ht="15.5" spans="11:11">
      <c r="K57" s="10">
        <v>783.743085486666</v>
      </c>
    </row>
    <row r="58" ht="15.5" spans="11:11">
      <c r="K58" s="10">
        <v>806.00009</v>
      </c>
    </row>
    <row r="59" ht="15.5" spans="11:11">
      <c r="K59" s="10">
        <v>753.799941893334</v>
      </c>
    </row>
    <row r="60" ht="15.5" spans="11:11">
      <c r="K60" s="10">
        <v>754.615166564893</v>
      </c>
    </row>
    <row r="61" ht="15.5" spans="11:11">
      <c r="K61" s="10">
        <v>765.072943113333</v>
      </c>
    </row>
    <row r="62" ht="15.5" spans="11:11">
      <c r="K62" s="10">
        <v>857.573214913333</v>
      </c>
    </row>
    <row r="63" ht="15.5" spans="11:11">
      <c r="K63" s="10">
        <v>972.78727886</v>
      </c>
    </row>
    <row r="64" ht="15.5" spans="11:11">
      <c r="K64" s="10">
        <v>1046.66219544667</v>
      </c>
    </row>
    <row r="65" ht="15.5" spans="11:11">
      <c r="K65" s="10">
        <v>169.6941547</v>
      </c>
    </row>
    <row r="66" ht="15.5" spans="11:11">
      <c r="K66" s="10">
        <v>173.753779086667</v>
      </c>
    </row>
    <row r="67" ht="15.5" spans="11:11">
      <c r="K67" s="10">
        <v>181.466489813333</v>
      </c>
    </row>
    <row r="68" ht="15.5" spans="11:11">
      <c r="K68" s="10">
        <v>180.468552293333</v>
      </c>
    </row>
    <row r="69" ht="15.5" spans="11:11">
      <c r="K69" s="10">
        <v>176.575300766667</v>
      </c>
    </row>
    <row r="70" ht="15.5" spans="11:11">
      <c r="K70" s="10">
        <v>169.7165295</v>
      </c>
    </row>
    <row r="71" ht="15.5" spans="11:11">
      <c r="K71" s="10">
        <v>173.986765128496</v>
      </c>
    </row>
    <row r="72" ht="15.5" spans="11:11">
      <c r="K72" s="10">
        <v>182.496485733333</v>
      </c>
    </row>
    <row r="73" ht="15.5" spans="11:11">
      <c r="K73" s="10">
        <v>185.441376746667</v>
      </c>
    </row>
    <row r="74" ht="15.5" spans="11:11">
      <c r="K74" s="10">
        <v>195.986526233333</v>
      </c>
    </row>
    <row r="75" ht="15.5" spans="11:11">
      <c r="K75" s="10">
        <v>190.948225753333</v>
      </c>
    </row>
    <row r="76" ht="15.5" spans="11:11">
      <c r="K76" s="10">
        <v>188.569617441279</v>
      </c>
    </row>
    <row r="77" ht="15.5" spans="11:11">
      <c r="K77" s="10">
        <v>187.756074066667</v>
      </c>
    </row>
    <row r="78" ht="15.5" spans="11:11">
      <c r="K78" s="10">
        <v>195.215828807213</v>
      </c>
    </row>
    <row r="79" ht="15.5" spans="11:11">
      <c r="K79" s="10">
        <v>193.378490473333</v>
      </c>
    </row>
    <row r="80" ht="15.5" spans="11:11">
      <c r="K80" s="10">
        <v>189.717234268763</v>
      </c>
    </row>
    <row r="81" ht="15.5" spans="11:11">
      <c r="K81" s="10">
        <v>226.23797925305</v>
      </c>
    </row>
    <row r="82" ht="15.5" spans="11:11">
      <c r="K82" s="10">
        <v>235.934728093333</v>
      </c>
    </row>
    <row r="83" ht="15.5" spans="11:11">
      <c r="K83" s="10">
        <v>251.898741255556</v>
      </c>
    </row>
    <row r="84" ht="15.5" spans="11:11">
      <c r="K84" s="10">
        <v>259.512911477778</v>
      </c>
    </row>
    <row r="85" ht="15.5" spans="11:11">
      <c r="K85" s="10">
        <v>286.311098393333</v>
      </c>
    </row>
    <row r="86" ht="15.5" spans="11:11">
      <c r="K86" s="10">
        <v>333.440799646667</v>
      </c>
    </row>
    <row r="87" ht="15.5" spans="11:11">
      <c r="K87" s="10">
        <v>336.336771553333</v>
      </c>
    </row>
    <row r="88" ht="15.5" spans="11:11">
      <c r="K88" s="10">
        <v>366.259665046667</v>
      </c>
    </row>
    <row r="89" ht="15.5" spans="11:11">
      <c r="K89" s="10">
        <v>379.091800073333</v>
      </c>
    </row>
    <row r="90" ht="15.5" spans="11:11">
      <c r="K90" s="10">
        <v>410.853264313333</v>
      </c>
    </row>
    <row r="91" ht="15.5" spans="11:11">
      <c r="K91" s="10">
        <v>452.2648373</v>
      </c>
    </row>
    <row r="92" ht="15.5" spans="11:11">
      <c r="K92" s="10">
        <v>480.946054513333</v>
      </c>
    </row>
    <row r="93" ht="15.5" spans="11:11">
      <c r="K93" s="10">
        <v>519.305165726667</v>
      </c>
    </row>
    <row r="94" ht="15.5" spans="11:11">
      <c r="K94" s="10">
        <v>555.4673467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82"/>
  <sheetViews>
    <sheetView topLeftCell="R1" workbookViewId="0">
      <selection activeCell="V4" sqref="V4"/>
    </sheetView>
  </sheetViews>
  <sheetFormatPr defaultColWidth="8.775" defaultRowHeight="14"/>
  <cols>
    <col min="2" max="2" width="15" customWidth="1"/>
    <col min="3" max="3" width="12.775" customWidth="1"/>
    <col min="4" max="4" width="15" customWidth="1"/>
    <col min="5" max="5" width="14" customWidth="1"/>
    <col min="6" max="6" width="15" customWidth="1"/>
    <col min="7" max="7" width="17.3333333333333" customWidth="1"/>
    <col min="8" max="8" width="21.775" customWidth="1"/>
    <col min="9" max="10" width="19.4416666666667" customWidth="1"/>
    <col min="11" max="11" width="18.4416666666667" customWidth="1"/>
    <col min="12" max="13" width="20.6666666666667" customWidth="1"/>
    <col min="14" max="14" width="18.4416666666667" customWidth="1"/>
    <col min="15" max="15" width="20.6666666666667" customWidth="1"/>
    <col min="16" max="17" width="19.4416666666667" customWidth="1"/>
    <col min="19" max="19" width="9" customWidth="1"/>
    <col min="21" max="21" width="12" customWidth="1"/>
    <col min="22" max="22" width="14.1083333333333" customWidth="1"/>
  </cols>
  <sheetData>
    <row r="1" spans="2:22"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  <c r="O1" s="3" t="s">
        <v>25</v>
      </c>
      <c r="P1" s="3" t="s">
        <v>26</v>
      </c>
      <c r="Q1" t="s">
        <v>27</v>
      </c>
      <c r="R1" s="3" t="s">
        <v>28</v>
      </c>
      <c r="S1" s="3" t="s">
        <v>29</v>
      </c>
      <c r="U1" s="4" t="s">
        <v>30</v>
      </c>
      <c r="V1" t="s">
        <v>31</v>
      </c>
    </row>
    <row r="2" spans="1:22">
      <c r="A2" t="s">
        <v>32</v>
      </c>
      <c r="B2" s="3">
        <f>-CO2排放量!K15*100</f>
        <v>-17060.2964113333</v>
      </c>
      <c r="C2" s="3">
        <f>就业人口!K15</f>
        <v>1104.33</v>
      </c>
      <c r="D2" s="3">
        <f>资本存量!K15</f>
        <v>28026.2556734583</v>
      </c>
      <c r="E2" s="3">
        <f>能源消耗量!L15</f>
        <v>10489.09</v>
      </c>
      <c r="F2" s="3">
        <f t="shared" ref="F2:F33" si="0">S2-B2</f>
        <v>36255.9864113333</v>
      </c>
      <c r="G2" s="3">
        <f t="shared" ref="G2:G33" si="1">C2*C2</f>
        <v>1219544.7489</v>
      </c>
      <c r="H2" s="3">
        <f t="shared" ref="H2:H33" si="2">D2*D2</f>
        <v>785471007.074054</v>
      </c>
      <c r="I2" s="3">
        <f t="shared" ref="I2:I33" si="3">E2*E2</f>
        <v>110021009.0281</v>
      </c>
      <c r="J2" s="3">
        <f t="shared" ref="J2:J33" si="4">C2*D2</f>
        <v>30950234.9278702</v>
      </c>
      <c r="K2" s="3">
        <f t="shared" ref="K2:K33" si="5">C2*E2</f>
        <v>11583416.7597</v>
      </c>
      <c r="L2" s="3">
        <f t="shared" ref="L2:L33" si="6">D2*E2</f>
        <v>293969918.121915</v>
      </c>
      <c r="M2" s="3">
        <f>F2*F2</f>
        <v>1314496550.65879</v>
      </c>
      <c r="N2" s="3">
        <f t="shared" ref="N2:N33" si="7">C2*F2</f>
        <v>40038573.4736277</v>
      </c>
      <c r="O2" s="3">
        <f t="shared" ref="O2:O33" si="8">D2*F2</f>
        <v>1016119544.85746</v>
      </c>
      <c r="P2" s="3">
        <f t="shared" ref="P2:P33" si="9">E2*F2</f>
        <v>380292304.507252</v>
      </c>
      <c r="Q2">
        <v>1</v>
      </c>
      <c r="R2">
        <v>1</v>
      </c>
      <c r="S2">
        <f>GDP!K15</f>
        <v>19195.69</v>
      </c>
      <c r="U2">
        <f>1+U14</f>
        <v>7.571449</v>
      </c>
      <c r="V2">
        <f>-($U$2+$U$4*B2*(-1)+$U$8*C2+$U$10*D2+$U$12*E2+$U$6*S2)/($U$14+$U$16*S2+$U$18*C2+$U$20*D2+$U$22*E2+$U$6*B2*(-1))</f>
        <v>-0.999877831289466</v>
      </c>
    </row>
    <row r="3" spans="1:22">
      <c r="A3" t="s">
        <v>33</v>
      </c>
      <c r="B3" s="3">
        <f>-CO2排放量!K16*100</f>
        <v>-16852.0721172</v>
      </c>
      <c r="C3" s="3">
        <f>就业人口!K16</f>
        <v>1115.5</v>
      </c>
      <c r="D3" s="3">
        <f>资本存量!K16</f>
        <v>30590.1151288063</v>
      </c>
      <c r="E3" s="3">
        <f>能源消耗量!L16</f>
        <v>10573</v>
      </c>
      <c r="F3" s="3">
        <f t="shared" si="0"/>
        <v>37033.7921172</v>
      </c>
      <c r="G3" s="3">
        <f t="shared" si="1"/>
        <v>1244340.25</v>
      </c>
      <c r="H3" s="3">
        <f t="shared" si="2"/>
        <v>935755143.593624</v>
      </c>
      <c r="I3" s="3">
        <f t="shared" si="3"/>
        <v>111788329</v>
      </c>
      <c r="J3" s="3">
        <f t="shared" si="4"/>
        <v>34123273.4261834</v>
      </c>
      <c r="K3" s="3">
        <f t="shared" si="5"/>
        <v>11794181.5</v>
      </c>
      <c r="L3" s="3">
        <f t="shared" si="6"/>
        <v>323429287.256869</v>
      </c>
      <c r="M3" s="3">
        <f t="shared" ref="M3:M33" si="10">F3*F3</f>
        <v>1371501758.57998</v>
      </c>
      <c r="N3" s="3">
        <f t="shared" si="7"/>
        <v>41311195.1067366</v>
      </c>
      <c r="O3" s="3">
        <f t="shared" si="8"/>
        <v>1132867964.52143</v>
      </c>
      <c r="P3" s="3">
        <f t="shared" si="9"/>
        <v>391558284.055156</v>
      </c>
      <c r="Q3">
        <v>1</v>
      </c>
      <c r="R3">
        <v>2</v>
      </c>
      <c r="S3">
        <f>GDP!K16</f>
        <v>20181.72</v>
      </c>
      <c r="U3" s="4" t="s">
        <v>34</v>
      </c>
      <c r="V3">
        <f t="shared" ref="V3:V33" si="11">-($U$2+$U$4*B3*(-1)+$U$8*C3+$U$10*D3+$U$12*E3+$U$6*S3)/($U$14+$U$16*S3+$U$18*C3+$U$20*D3+$U$22*E3+$U$6*B3*(-1))</f>
        <v>-0.999865049079551</v>
      </c>
    </row>
    <row r="4" spans="1:22">
      <c r="A4" t="s">
        <v>35</v>
      </c>
      <c r="B4" s="3">
        <f>-CO2排放量!K17*100</f>
        <v>-18178.292098</v>
      </c>
      <c r="C4" s="3">
        <f>就业人口!K17</f>
        <v>1137.35</v>
      </c>
      <c r="D4" s="3">
        <f>资本存量!K17</f>
        <v>33301.2540764409</v>
      </c>
      <c r="E4" s="3">
        <f>能源消耗量!L17</f>
        <v>10890.39</v>
      </c>
      <c r="F4" s="3">
        <f t="shared" si="0"/>
        <v>39996.442098</v>
      </c>
      <c r="G4" s="3">
        <f t="shared" si="1"/>
        <v>1293565.0225</v>
      </c>
      <c r="H4" s="3">
        <f t="shared" si="2"/>
        <v>1108973523.06367</v>
      </c>
      <c r="I4" s="3">
        <f t="shared" si="3"/>
        <v>118600594.3521</v>
      </c>
      <c r="J4" s="3">
        <f t="shared" si="4"/>
        <v>37875181.3238401</v>
      </c>
      <c r="K4" s="3">
        <f t="shared" si="5"/>
        <v>12386185.0665</v>
      </c>
      <c r="L4" s="3">
        <f t="shared" si="6"/>
        <v>362663644.381531</v>
      </c>
      <c r="M4" s="3">
        <f t="shared" si="10"/>
        <v>1599715380.49867</v>
      </c>
      <c r="N4" s="3">
        <f t="shared" si="7"/>
        <v>45489953.4201603</v>
      </c>
      <c r="O4" s="3">
        <f t="shared" si="8"/>
        <v>1331931680.45915</v>
      </c>
      <c r="P4" s="3">
        <f t="shared" si="9"/>
        <v>435576853.059638</v>
      </c>
      <c r="Q4">
        <v>1</v>
      </c>
      <c r="R4">
        <v>3</v>
      </c>
      <c r="S4">
        <f>GDP!K17</f>
        <v>21818.15</v>
      </c>
      <c r="U4" s="8">
        <v>-0.6547</v>
      </c>
      <c r="V4">
        <f t="shared" si="11"/>
        <v>-0.999874713268732</v>
      </c>
    </row>
    <row r="5" spans="1:22">
      <c r="A5" t="s">
        <v>36</v>
      </c>
      <c r="B5" s="3">
        <f>-CO2排放量!K18*100</f>
        <v>-15654.6572718</v>
      </c>
      <c r="C5" s="3">
        <f>就业人口!K18</f>
        <v>1365.63</v>
      </c>
      <c r="D5" s="3">
        <f>资本存量!K18</f>
        <v>36120.7636851026</v>
      </c>
      <c r="E5" s="3">
        <f>能源消耗量!L18</f>
        <v>10639.86</v>
      </c>
      <c r="F5" s="3">
        <f t="shared" si="0"/>
        <v>39222.3526198</v>
      </c>
      <c r="G5" s="3">
        <f t="shared" si="1"/>
        <v>1864945.2969</v>
      </c>
      <c r="H5" s="3">
        <f t="shared" si="2"/>
        <v>1304709569.19502</v>
      </c>
      <c r="I5" s="3">
        <f t="shared" si="3"/>
        <v>113206620.8196</v>
      </c>
      <c r="J5" s="3">
        <f t="shared" si="4"/>
        <v>49327598.5112866</v>
      </c>
      <c r="K5" s="3">
        <f t="shared" si="5"/>
        <v>14530112.0118</v>
      </c>
      <c r="L5" s="3">
        <f t="shared" si="6"/>
        <v>384319868.702576</v>
      </c>
      <c r="M5" s="3">
        <f t="shared" si="10"/>
        <v>1538392945.03193</v>
      </c>
      <c r="N5" s="3">
        <f t="shared" si="7"/>
        <v>53563221.4081775</v>
      </c>
      <c r="O5" s="3">
        <f t="shared" si="8"/>
        <v>1416741330.15356</v>
      </c>
      <c r="P5" s="3">
        <f t="shared" si="9"/>
        <v>417320340.745305</v>
      </c>
      <c r="Q5">
        <v>1</v>
      </c>
      <c r="R5">
        <v>4</v>
      </c>
      <c r="S5">
        <f>GDP!K18</f>
        <v>23567.695348</v>
      </c>
      <c r="U5" s="4" t="s">
        <v>37</v>
      </c>
      <c r="V5">
        <f t="shared" si="11"/>
        <v>-0.999822268509607</v>
      </c>
    </row>
    <row r="6" spans="1:22">
      <c r="A6" t="s">
        <v>38</v>
      </c>
      <c r="B6" s="3">
        <f>-CO2排放量!K19*100</f>
        <v>-16164.68814</v>
      </c>
      <c r="C6" s="3">
        <f>就业人口!K19</f>
        <v>1361.51</v>
      </c>
      <c r="D6" s="3">
        <f>资本存量!K19</f>
        <v>39005.8703713327</v>
      </c>
      <c r="E6" s="3">
        <f>能源消耗量!L19</f>
        <v>10930.53</v>
      </c>
      <c r="F6" s="3">
        <f t="shared" si="0"/>
        <v>41288.13814</v>
      </c>
      <c r="G6" s="3">
        <f t="shared" si="1"/>
        <v>1853709.4801</v>
      </c>
      <c r="H6" s="3">
        <f t="shared" si="2"/>
        <v>1521457923.42521</v>
      </c>
      <c r="I6" s="3">
        <f t="shared" si="3"/>
        <v>119476486.0809</v>
      </c>
      <c r="J6" s="3">
        <f t="shared" si="4"/>
        <v>53106882.5692732</v>
      </c>
      <c r="K6" s="3">
        <f t="shared" si="5"/>
        <v>14882025.9003</v>
      </c>
      <c r="L6" s="3">
        <f t="shared" si="6"/>
        <v>426354836.269964</v>
      </c>
      <c r="M6" s="3">
        <f t="shared" si="10"/>
        <v>1704710351.06772</v>
      </c>
      <c r="N6" s="3">
        <f t="shared" si="7"/>
        <v>56214212.9589914</v>
      </c>
      <c r="O6" s="3">
        <f t="shared" si="8"/>
        <v>1610479764.16252</v>
      </c>
      <c r="P6" s="3">
        <f t="shared" si="9"/>
        <v>451301232.583414</v>
      </c>
      <c r="Q6">
        <v>1</v>
      </c>
      <c r="R6">
        <v>5</v>
      </c>
      <c r="S6">
        <f>GDP!K19</f>
        <v>25123.45</v>
      </c>
      <c r="U6">
        <f>U4</f>
        <v>-0.6547</v>
      </c>
      <c r="V6">
        <f t="shared" si="11"/>
        <v>-0.999820609421025</v>
      </c>
    </row>
    <row r="7" spans="1:22">
      <c r="A7" t="s">
        <v>39</v>
      </c>
      <c r="B7" s="3">
        <f>-CO2排放量!K20*100</f>
        <v>-15822.5226386667</v>
      </c>
      <c r="C7" s="3">
        <f>就业人口!K20</f>
        <v>1365.24</v>
      </c>
      <c r="D7" s="3">
        <f>资本存量!K20</f>
        <v>42017.1868156848</v>
      </c>
      <c r="E7" s="3">
        <f>能源消耗量!L20</f>
        <v>11241.73</v>
      </c>
      <c r="F7" s="3">
        <f t="shared" si="0"/>
        <v>44001.1726386667</v>
      </c>
      <c r="G7" s="3">
        <f t="shared" si="1"/>
        <v>1863880.2576</v>
      </c>
      <c r="H7" s="3">
        <f t="shared" si="2"/>
        <v>1765443987.90416</v>
      </c>
      <c r="I7" s="3">
        <f t="shared" si="3"/>
        <v>126376493.3929</v>
      </c>
      <c r="J7" s="3">
        <f t="shared" si="4"/>
        <v>57363544.1282455</v>
      </c>
      <c r="K7" s="3">
        <f t="shared" si="5"/>
        <v>15347659.4652</v>
      </c>
      <c r="L7" s="3">
        <f t="shared" si="6"/>
        <v>472345869.541488</v>
      </c>
      <c r="M7" s="3">
        <f t="shared" si="10"/>
        <v>1936103193.57775</v>
      </c>
      <c r="N7" s="3">
        <f t="shared" si="7"/>
        <v>60072160.9332133</v>
      </c>
      <c r="O7" s="3">
        <f t="shared" si="8"/>
        <v>1848805490.86806</v>
      </c>
      <c r="P7" s="3">
        <f t="shared" si="9"/>
        <v>494649302.487278</v>
      </c>
      <c r="Q7">
        <v>1</v>
      </c>
      <c r="R7">
        <v>6</v>
      </c>
      <c r="S7">
        <f>GDP!K20</f>
        <v>28178.65</v>
      </c>
      <c r="U7" s="4" t="s">
        <v>40</v>
      </c>
      <c r="V7">
        <f t="shared" si="11"/>
        <v>-0.999829624466034</v>
      </c>
    </row>
    <row r="8" spans="1:22">
      <c r="A8" t="s">
        <v>41</v>
      </c>
      <c r="B8" s="3">
        <f>-CO2排放量!K21*100</f>
        <v>-15657.8049833333</v>
      </c>
      <c r="C8" s="3">
        <f>就业人口!K21</f>
        <v>1372.65</v>
      </c>
      <c r="D8" s="3">
        <f>资本存量!K21</f>
        <v>45230.136881379</v>
      </c>
      <c r="E8" s="3">
        <f>能源消耗量!L21</f>
        <v>11381.85</v>
      </c>
      <c r="F8" s="3">
        <f t="shared" si="0"/>
        <v>46290.7949833333</v>
      </c>
      <c r="G8" s="3">
        <f t="shared" si="1"/>
        <v>1884168.0225</v>
      </c>
      <c r="H8" s="3">
        <f t="shared" si="2"/>
        <v>2045765282.30828</v>
      </c>
      <c r="I8" s="3">
        <f t="shared" si="3"/>
        <v>129546509.4225</v>
      </c>
      <c r="J8" s="3">
        <f t="shared" si="4"/>
        <v>62085147.390225</v>
      </c>
      <c r="K8" s="3">
        <f t="shared" si="5"/>
        <v>15623296.4025</v>
      </c>
      <c r="L8" s="3">
        <f t="shared" si="6"/>
        <v>514802633.463324</v>
      </c>
      <c r="M8" s="3">
        <f t="shared" si="10"/>
        <v>2142837700.189</v>
      </c>
      <c r="N8" s="3">
        <f t="shared" si="7"/>
        <v>63541059.7338725</v>
      </c>
      <c r="O8" s="3">
        <f t="shared" si="8"/>
        <v>2093738993.44402</v>
      </c>
      <c r="P8" s="3">
        <f t="shared" si="9"/>
        <v>526874884.881053</v>
      </c>
      <c r="Q8">
        <v>1</v>
      </c>
      <c r="R8">
        <v>7</v>
      </c>
      <c r="S8">
        <f>GDP!K21</f>
        <v>30632.99</v>
      </c>
      <c r="U8" s="8">
        <v>1.949462</v>
      </c>
      <c r="V8">
        <f t="shared" si="11"/>
        <v>-0.999826780310396</v>
      </c>
    </row>
    <row r="9" spans="1:22">
      <c r="A9" t="s">
        <v>42</v>
      </c>
      <c r="B9" s="3">
        <f>-CO2排放量!K22*100</f>
        <v>-15147.447972</v>
      </c>
      <c r="C9" s="3">
        <f>就业人口!K22</f>
        <v>1375.66</v>
      </c>
      <c r="D9" s="3">
        <f>资本存量!K22</f>
        <v>48511.4669407667</v>
      </c>
      <c r="E9" s="3">
        <f>能源消耗量!L22</f>
        <v>11453.73</v>
      </c>
      <c r="F9" s="3">
        <f t="shared" si="0"/>
        <v>51159.267972</v>
      </c>
      <c r="G9" s="3">
        <f t="shared" si="1"/>
        <v>1892440.4356</v>
      </c>
      <c r="H9" s="3">
        <f t="shared" si="2"/>
        <v>2353362424.7451</v>
      </c>
      <c r="I9" s="3">
        <f t="shared" si="3"/>
        <v>131187930.9129</v>
      </c>
      <c r="J9" s="3">
        <f t="shared" si="4"/>
        <v>66735284.6117351</v>
      </c>
      <c r="K9" s="3">
        <f t="shared" si="5"/>
        <v>15756438.2118</v>
      </c>
      <c r="L9" s="3">
        <f t="shared" si="6"/>
        <v>555637244.243467</v>
      </c>
      <c r="M9" s="3">
        <f t="shared" si="10"/>
        <v>2617270699.43091</v>
      </c>
      <c r="N9" s="3">
        <f t="shared" si="7"/>
        <v>70377758.5783615</v>
      </c>
      <c r="O9" s="3">
        <f t="shared" si="8"/>
        <v>2481811136.9375</v>
      </c>
      <c r="P9" s="3">
        <f t="shared" si="9"/>
        <v>585964442.348936</v>
      </c>
      <c r="Q9">
        <v>1</v>
      </c>
      <c r="R9">
        <v>8</v>
      </c>
      <c r="S9">
        <f>GDP!K22</f>
        <v>36011.82</v>
      </c>
      <c r="U9" s="4" t="s">
        <v>43</v>
      </c>
      <c r="V9">
        <f t="shared" si="11"/>
        <v>-0.999863702403872</v>
      </c>
    </row>
    <row r="10" spans="1:22">
      <c r="A10" t="s">
        <v>44</v>
      </c>
      <c r="B10" s="3">
        <f>-CO2排放量!K23*100</f>
        <v>-15949.7303606667</v>
      </c>
      <c r="C10" s="3">
        <f>就业人口!K23</f>
        <v>1376.2</v>
      </c>
      <c r="D10" s="3">
        <f>资本存量!K23</f>
        <v>51866.5838976531</v>
      </c>
      <c r="E10" s="3">
        <f>能源消耗量!L23</f>
        <v>11696.46</v>
      </c>
      <c r="F10" s="3">
        <f t="shared" si="0"/>
        <v>54105.0503606667</v>
      </c>
      <c r="G10" s="3">
        <f t="shared" si="1"/>
        <v>1893926.44</v>
      </c>
      <c r="H10" s="3">
        <f t="shared" si="2"/>
        <v>2690142525.21229</v>
      </c>
      <c r="I10" s="3">
        <f t="shared" si="3"/>
        <v>136807176.5316</v>
      </c>
      <c r="J10" s="3">
        <f t="shared" si="4"/>
        <v>71378792.7599502</v>
      </c>
      <c r="K10" s="3">
        <f t="shared" si="5"/>
        <v>16096668.252</v>
      </c>
      <c r="L10" s="3">
        <f t="shared" si="6"/>
        <v>606655423.895543</v>
      </c>
      <c r="M10" s="3">
        <f t="shared" si="10"/>
        <v>2927356474.53028</v>
      </c>
      <c r="N10" s="3">
        <f t="shared" si="7"/>
        <v>74459370.3063495</v>
      </c>
      <c r="O10" s="3">
        <f t="shared" si="8"/>
        <v>2806244133.81826</v>
      </c>
      <c r="P10" s="3">
        <f t="shared" si="9"/>
        <v>632837557.341523</v>
      </c>
      <c r="Q10">
        <v>1</v>
      </c>
      <c r="R10">
        <v>9</v>
      </c>
      <c r="S10">
        <f>GDP!K23</f>
        <v>38155.32</v>
      </c>
      <c r="U10" s="8">
        <v>0.4939281</v>
      </c>
      <c r="V10">
        <f t="shared" si="11"/>
        <v>-0.999868726562635</v>
      </c>
    </row>
    <row r="11" spans="1:22">
      <c r="A11" t="s">
        <v>45</v>
      </c>
      <c r="B11" s="3">
        <f>-CO2排放量!K24*100</f>
        <v>-15462.6881773333</v>
      </c>
      <c r="C11" s="3">
        <f>就业人口!K24</f>
        <v>1374</v>
      </c>
      <c r="D11" s="3">
        <f>资本存量!K24</f>
        <v>55724.868058348</v>
      </c>
      <c r="E11" s="3">
        <f>能源消耗量!L24</f>
        <v>11099.59</v>
      </c>
      <c r="F11" s="3">
        <f t="shared" si="0"/>
        <v>54163.2681773333</v>
      </c>
      <c r="G11" s="3">
        <f t="shared" si="1"/>
        <v>1887876</v>
      </c>
      <c r="H11" s="3">
        <f t="shared" si="2"/>
        <v>3105260920.12029</v>
      </c>
      <c r="I11" s="3">
        <f t="shared" si="3"/>
        <v>123200898.1681</v>
      </c>
      <c r="J11" s="3">
        <f t="shared" si="4"/>
        <v>76565968.7121701</v>
      </c>
      <c r="K11" s="3">
        <f t="shared" si="5"/>
        <v>15250836.66</v>
      </c>
      <c r="L11" s="3">
        <f t="shared" si="6"/>
        <v>618523188.251759</v>
      </c>
      <c r="M11" s="3">
        <f t="shared" si="10"/>
        <v>2933659619.64973</v>
      </c>
      <c r="N11" s="3">
        <f t="shared" si="7"/>
        <v>74420330.475656</v>
      </c>
      <c r="O11" s="3">
        <f t="shared" si="8"/>
        <v>3018240972.79082</v>
      </c>
      <c r="P11" s="3">
        <f t="shared" si="9"/>
        <v>601190069.828447</v>
      </c>
      <c r="Q11">
        <v>1</v>
      </c>
      <c r="R11">
        <v>10</v>
      </c>
      <c r="S11">
        <f>GDP!K24</f>
        <v>38700.58</v>
      </c>
      <c r="U11" s="4" t="s">
        <v>46</v>
      </c>
      <c r="V11">
        <f t="shared" si="11"/>
        <v>-0.99982544074294</v>
      </c>
    </row>
    <row r="12" spans="1:22">
      <c r="A12" t="s">
        <v>47</v>
      </c>
      <c r="B12" s="3">
        <f>-CO2排放量!K25*100</f>
        <v>-61310.788852</v>
      </c>
      <c r="C12" s="3">
        <f>就业人口!K25</f>
        <v>4758.23</v>
      </c>
      <c r="D12" s="3">
        <f>资本存量!K25</f>
        <v>86020.7968373509</v>
      </c>
      <c r="E12" s="3">
        <f>能源消耗量!L25</f>
        <v>27588.97</v>
      </c>
      <c r="F12" s="3">
        <f t="shared" si="0"/>
        <v>110421.058852</v>
      </c>
      <c r="G12" s="3">
        <f t="shared" si="1"/>
        <v>22640752.7329</v>
      </c>
      <c r="H12" s="3">
        <f t="shared" si="2"/>
        <v>7399577488.5328</v>
      </c>
      <c r="I12" s="3">
        <f t="shared" si="3"/>
        <v>761151265.6609</v>
      </c>
      <c r="J12" s="3">
        <f t="shared" si="4"/>
        <v>409306736.135388</v>
      </c>
      <c r="K12" s="3">
        <f t="shared" si="5"/>
        <v>131274664.7231</v>
      </c>
      <c r="L12" s="3">
        <f t="shared" si="6"/>
        <v>2373225183.32177</v>
      </c>
      <c r="M12" s="3">
        <f t="shared" si="10"/>
        <v>12192810237.9968</v>
      </c>
      <c r="N12" s="3">
        <f t="shared" si="7"/>
        <v>525408794.861352</v>
      </c>
      <c r="O12" s="3">
        <f t="shared" si="8"/>
        <v>9498507470.07306</v>
      </c>
      <c r="P12" s="3">
        <f t="shared" si="9"/>
        <v>3046403280.03606</v>
      </c>
      <c r="Q12">
        <v>2</v>
      </c>
      <c r="R12">
        <v>1</v>
      </c>
      <c r="S12">
        <f>GDP!K25</f>
        <v>49110.27</v>
      </c>
      <c r="U12" s="8">
        <v>-0.0429955</v>
      </c>
      <c r="V12">
        <f t="shared" si="11"/>
        <v>-0.999953934500443</v>
      </c>
    </row>
    <row r="13" spans="1:22">
      <c r="A13" t="s">
        <v>48</v>
      </c>
      <c r="B13" s="3">
        <f>-CO2排放量!K26*100</f>
        <v>-61998.8585013333</v>
      </c>
      <c r="C13" s="3">
        <f>就业人口!K26</f>
        <v>4759.53</v>
      </c>
      <c r="D13" s="3">
        <f>资本存量!K26</f>
        <v>109469.380340965</v>
      </c>
      <c r="E13" s="3">
        <f>能源消耗量!L26</f>
        <v>28849.84</v>
      </c>
      <c r="F13" s="3">
        <f t="shared" si="0"/>
        <v>116057.078501333</v>
      </c>
      <c r="G13" s="3">
        <f t="shared" si="1"/>
        <v>22653125.8209</v>
      </c>
      <c r="H13" s="3">
        <f t="shared" si="2"/>
        <v>11983545232.2349</v>
      </c>
      <c r="I13" s="3">
        <f t="shared" si="3"/>
        <v>832313268.0256</v>
      </c>
      <c r="J13" s="3">
        <f t="shared" si="4"/>
        <v>521022799.814234</v>
      </c>
      <c r="K13" s="3">
        <f t="shared" si="5"/>
        <v>137311678.9752</v>
      </c>
      <c r="L13" s="3">
        <f t="shared" si="6"/>
        <v>3158174107.73599</v>
      </c>
      <c r="M13" s="3">
        <f t="shared" si="10"/>
        <v>13469245470.2646</v>
      </c>
      <c r="N13" s="3">
        <f t="shared" si="7"/>
        <v>552377146.839451</v>
      </c>
      <c r="O13" s="3">
        <f t="shared" si="8"/>
        <v>12704696467.7237</v>
      </c>
      <c r="P13" s="3">
        <f t="shared" si="9"/>
        <v>3348228145.63091</v>
      </c>
      <c r="Q13">
        <v>2</v>
      </c>
      <c r="R13">
        <v>2</v>
      </c>
      <c r="S13">
        <f>GDP!K26</f>
        <v>54058.22</v>
      </c>
      <c r="U13" s="4" t="s">
        <v>49</v>
      </c>
      <c r="V13">
        <f t="shared" si="11"/>
        <v>-0.999927890952116</v>
      </c>
    </row>
    <row r="14" spans="1:22">
      <c r="A14" t="s">
        <v>50</v>
      </c>
      <c r="B14" s="3">
        <f>-CO2排放量!K27*100</f>
        <v>-63844.0952</v>
      </c>
      <c r="C14" s="3">
        <f>就业人口!K27</f>
        <v>4759.89</v>
      </c>
      <c r="D14" s="3">
        <f>资本存量!K27</f>
        <v>134942.839828233</v>
      </c>
      <c r="E14" s="3">
        <f>能源消耗量!L27</f>
        <v>29205.38</v>
      </c>
      <c r="F14" s="3">
        <f t="shared" si="0"/>
        <v>123597.4652</v>
      </c>
      <c r="G14" s="3">
        <f t="shared" si="1"/>
        <v>22656552.8121</v>
      </c>
      <c r="H14" s="3">
        <f t="shared" si="2"/>
        <v>18209570020.908</v>
      </c>
      <c r="I14" s="3">
        <f t="shared" si="3"/>
        <v>852954220.9444</v>
      </c>
      <c r="J14" s="3">
        <f t="shared" si="4"/>
        <v>642313073.870006</v>
      </c>
      <c r="K14" s="3">
        <f t="shared" si="5"/>
        <v>139014396.2082</v>
      </c>
      <c r="L14" s="3">
        <f t="shared" si="6"/>
        <v>3941056915.46267</v>
      </c>
      <c r="M14" s="3">
        <f t="shared" si="10"/>
        <v>15276333403.8652</v>
      </c>
      <c r="N14" s="3">
        <f t="shared" si="7"/>
        <v>588310338.630828</v>
      </c>
      <c r="O14" s="3">
        <f t="shared" si="8"/>
        <v>16678592949.6592</v>
      </c>
      <c r="P14" s="3">
        <f t="shared" si="9"/>
        <v>3609710938.20278</v>
      </c>
      <c r="Q14">
        <v>2</v>
      </c>
      <c r="R14">
        <v>3</v>
      </c>
      <c r="S14">
        <f>GDP!K27</f>
        <v>59753.37</v>
      </c>
      <c r="U14" s="8">
        <f>6.571449</f>
        <v>6.571449</v>
      </c>
      <c r="V14">
        <f t="shared" si="11"/>
        <v>-0.999839669173863</v>
      </c>
    </row>
    <row r="15" spans="1:22">
      <c r="A15" t="s">
        <v>51</v>
      </c>
      <c r="B15" s="3">
        <f>-CO2排放量!K28*100</f>
        <v>-62107.1174273333</v>
      </c>
      <c r="C15" s="3">
        <f>就业人口!K28</f>
        <v>4760.83</v>
      </c>
      <c r="D15" s="3">
        <f>资本存量!K28</f>
        <v>163541.077204722</v>
      </c>
      <c r="E15" s="3">
        <f>能源消耗量!L28</f>
        <v>29863.03</v>
      </c>
      <c r="F15" s="3">
        <f t="shared" si="0"/>
        <v>127195.437427333</v>
      </c>
      <c r="G15" s="3">
        <f t="shared" si="1"/>
        <v>22665502.2889</v>
      </c>
      <c r="H15" s="3">
        <f t="shared" si="2"/>
        <v>26745683933.2809</v>
      </c>
      <c r="I15" s="3">
        <f t="shared" si="3"/>
        <v>891800560.7809</v>
      </c>
      <c r="J15" s="3">
        <f t="shared" si="4"/>
        <v>778591266.588558</v>
      </c>
      <c r="K15" s="3">
        <f t="shared" si="5"/>
        <v>142172809.1149</v>
      </c>
      <c r="L15" s="3">
        <f t="shared" si="6"/>
        <v>4883832094.79694</v>
      </c>
      <c r="M15" s="3">
        <f t="shared" si="10"/>
        <v>16178679302.3307</v>
      </c>
      <c r="N15" s="3">
        <f t="shared" si="7"/>
        <v>605555854.367171</v>
      </c>
      <c r="O15" s="3">
        <f t="shared" si="8"/>
        <v>20801678852.3919</v>
      </c>
      <c r="P15" s="3">
        <f t="shared" si="9"/>
        <v>3798441163.75558</v>
      </c>
      <c r="Q15">
        <v>2</v>
      </c>
      <c r="R15">
        <v>4</v>
      </c>
      <c r="S15">
        <f>GDP!K28</f>
        <v>65088.32</v>
      </c>
      <c r="U15" s="4" t="s">
        <v>52</v>
      </c>
      <c r="V15">
        <f t="shared" si="11"/>
        <v>-1.00018160905509</v>
      </c>
    </row>
    <row r="16" spans="1:22">
      <c r="A16" t="s">
        <v>53</v>
      </c>
      <c r="B16" s="3">
        <f>-CO2排放量!K29*100</f>
        <v>-63416.123836</v>
      </c>
      <c r="C16" s="3">
        <f>就业人口!K29</f>
        <v>4758.5</v>
      </c>
      <c r="D16" s="3">
        <f>资本存量!K29</f>
        <v>193746.303793069</v>
      </c>
      <c r="E16" s="3">
        <f>能源消耗量!L29</f>
        <v>30374.14</v>
      </c>
      <c r="F16" s="3">
        <f t="shared" si="0"/>
        <v>133532.503836</v>
      </c>
      <c r="G16" s="3">
        <f t="shared" si="1"/>
        <v>22643322.25</v>
      </c>
      <c r="H16" s="3">
        <f t="shared" si="2"/>
        <v>37537630233.4762</v>
      </c>
      <c r="I16" s="3">
        <f t="shared" si="3"/>
        <v>922588380.7396</v>
      </c>
      <c r="J16" s="3">
        <f t="shared" si="4"/>
        <v>921941786.599318</v>
      </c>
      <c r="K16" s="3">
        <f t="shared" si="5"/>
        <v>144535345.19</v>
      </c>
      <c r="L16" s="3">
        <f t="shared" si="6"/>
        <v>5884877355.89321</v>
      </c>
      <c r="M16" s="3">
        <f t="shared" si="10"/>
        <v>17830929580.7114</v>
      </c>
      <c r="N16" s="3">
        <f t="shared" si="7"/>
        <v>635414419.503606</v>
      </c>
      <c r="O16" s="3">
        <f t="shared" si="8"/>
        <v>25871429054.4588</v>
      </c>
      <c r="P16" s="3">
        <f t="shared" si="9"/>
        <v>4055934966.0652</v>
      </c>
      <c r="Q16">
        <v>2</v>
      </c>
      <c r="R16">
        <v>5</v>
      </c>
      <c r="S16">
        <f>GDP!K29</f>
        <v>70116.38</v>
      </c>
      <c r="U16">
        <f>U6</f>
        <v>-0.6547</v>
      </c>
      <c r="V16">
        <f t="shared" si="11"/>
        <v>-1.0000615378992</v>
      </c>
    </row>
    <row r="17" spans="1:22">
      <c r="A17" t="s">
        <v>54</v>
      </c>
      <c r="B17" s="3">
        <f>-CO2排放量!K30*100</f>
        <v>-65311.6844646667</v>
      </c>
      <c r="C17" s="3">
        <f>就业人口!K30</f>
        <v>4756.22</v>
      </c>
      <c r="D17" s="3">
        <f>资本存量!K30</f>
        <v>224517.508628934</v>
      </c>
      <c r="E17" s="3">
        <f>能源消耗量!L30</f>
        <v>31209.71</v>
      </c>
      <c r="F17" s="3">
        <f t="shared" si="0"/>
        <v>142699.964464667</v>
      </c>
      <c r="G17" s="3">
        <f t="shared" si="1"/>
        <v>22621628.6884</v>
      </c>
      <c r="H17" s="3">
        <f t="shared" si="2"/>
        <v>50408111680.9436</v>
      </c>
      <c r="I17" s="3">
        <f t="shared" si="3"/>
        <v>974045998.2841</v>
      </c>
      <c r="J17" s="3">
        <f t="shared" si="4"/>
        <v>1067854664.89111</v>
      </c>
      <c r="K17" s="3">
        <f t="shared" si="5"/>
        <v>148440246.8962</v>
      </c>
      <c r="L17" s="3">
        <f t="shared" si="6"/>
        <v>7007126334.23154</v>
      </c>
      <c r="M17" s="3">
        <f t="shared" si="10"/>
        <v>20363279858.2171</v>
      </c>
      <c r="N17" s="3">
        <f t="shared" si="7"/>
        <v>678712424.986137</v>
      </c>
      <c r="O17" s="3">
        <f t="shared" si="8"/>
        <v>32038640503.0444</v>
      </c>
      <c r="P17" s="3">
        <f t="shared" si="9"/>
        <v>4453624507.95255</v>
      </c>
      <c r="Q17">
        <v>2</v>
      </c>
      <c r="R17">
        <v>6</v>
      </c>
      <c r="S17">
        <f>GDP!K30</f>
        <v>77388.28</v>
      </c>
      <c r="U17" s="4" t="s">
        <v>55</v>
      </c>
      <c r="V17">
        <f t="shared" si="11"/>
        <v>-1.00003935984482</v>
      </c>
    </row>
    <row r="18" spans="1:22">
      <c r="A18" t="s">
        <v>56</v>
      </c>
      <c r="B18" s="3">
        <f>-CO2排放量!K31*100</f>
        <v>-64504.87202</v>
      </c>
      <c r="C18" s="3">
        <f>就业人口!K31</f>
        <v>4757.8</v>
      </c>
      <c r="D18" s="3">
        <f>资本存量!K31</f>
        <v>255964.037800557</v>
      </c>
      <c r="E18" s="3">
        <f>能源消耗量!L31</f>
        <v>31602.09</v>
      </c>
      <c r="F18" s="3">
        <f t="shared" si="0"/>
        <v>150374.63202</v>
      </c>
      <c r="G18" s="3">
        <f t="shared" si="1"/>
        <v>22636660.84</v>
      </c>
      <c r="H18" s="3">
        <f t="shared" si="2"/>
        <v>65517588647.1648</v>
      </c>
      <c r="I18" s="3">
        <f t="shared" si="3"/>
        <v>998692092.3681</v>
      </c>
      <c r="J18" s="3">
        <f t="shared" si="4"/>
        <v>1217825699.04749</v>
      </c>
      <c r="K18" s="3">
        <f t="shared" si="5"/>
        <v>150356423.802</v>
      </c>
      <c r="L18" s="3">
        <f t="shared" si="6"/>
        <v>8088998559.33659</v>
      </c>
      <c r="M18" s="3">
        <f t="shared" si="10"/>
        <v>22612529955.1504</v>
      </c>
      <c r="N18" s="3">
        <f t="shared" si="7"/>
        <v>715452424.224756</v>
      </c>
      <c r="O18" s="3">
        <f t="shared" si="8"/>
        <v>38490497994.6121</v>
      </c>
      <c r="P18" s="3">
        <f t="shared" si="9"/>
        <v>4752152654.81292</v>
      </c>
      <c r="Q18">
        <v>2</v>
      </c>
      <c r="R18">
        <v>7</v>
      </c>
      <c r="S18">
        <f>GDP!K31</f>
        <v>85869.76</v>
      </c>
      <c r="U18">
        <f>U8</f>
        <v>1.949462</v>
      </c>
      <c r="V18">
        <f t="shared" si="11"/>
        <v>-1.00002785473936</v>
      </c>
    </row>
    <row r="19" spans="1:22">
      <c r="A19" t="s">
        <v>57</v>
      </c>
      <c r="B19" s="3">
        <f>-CO2排放量!K32*100</f>
        <v>-64496.5467726667</v>
      </c>
      <c r="C19" s="3">
        <f>就业人口!K32</f>
        <v>4750.9</v>
      </c>
      <c r="D19" s="3">
        <f>资本存量!K32</f>
        <v>287306.711721703</v>
      </c>
      <c r="E19" s="3">
        <f>能源消耗量!L32</f>
        <v>31635.2</v>
      </c>
      <c r="F19" s="3">
        <f t="shared" si="0"/>
        <v>157704.096772667</v>
      </c>
      <c r="G19" s="3">
        <f t="shared" si="1"/>
        <v>22571050.81</v>
      </c>
      <c r="H19" s="3">
        <f t="shared" si="2"/>
        <v>82545146600.3379</v>
      </c>
      <c r="I19" s="3">
        <f t="shared" si="3"/>
        <v>1000785879.04</v>
      </c>
      <c r="J19" s="3">
        <f t="shared" si="4"/>
        <v>1364965456.71864</v>
      </c>
      <c r="K19" s="3">
        <f t="shared" si="5"/>
        <v>150295671.68</v>
      </c>
      <c r="L19" s="3">
        <f t="shared" si="6"/>
        <v>9089005286.65842</v>
      </c>
      <c r="M19" s="3">
        <f t="shared" si="10"/>
        <v>24870582138.8826</v>
      </c>
      <c r="N19" s="3">
        <f t="shared" si="7"/>
        <v>749236393.357262</v>
      </c>
      <c r="O19" s="3">
        <f t="shared" si="8"/>
        <v>45309445468.7961</v>
      </c>
      <c r="P19" s="3">
        <f t="shared" si="9"/>
        <v>4989000642.22266</v>
      </c>
      <c r="Q19">
        <v>2</v>
      </c>
      <c r="R19">
        <v>8</v>
      </c>
      <c r="S19">
        <f>GDP!K32</f>
        <v>93207.55</v>
      </c>
      <c r="U19" s="4" t="s">
        <v>58</v>
      </c>
      <c r="V19">
        <f t="shared" si="11"/>
        <v>-1.00002147393421</v>
      </c>
    </row>
    <row r="20" spans="1:22">
      <c r="A20" t="s">
        <v>59</v>
      </c>
      <c r="B20" s="3">
        <f>-CO2排放量!K33*100</f>
        <v>-63658.2048586667</v>
      </c>
      <c r="C20" s="3">
        <f>就业人口!K33</f>
        <v>4745.2</v>
      </c>
      <c r="D20" s="3">
        <f>资本存量!K33</f>
        <v>318492.16524547</v>
      </c>
      <c r="E20" s="3">
        <f>能源消耗量!L33</f>
        <v>32525.97</v>
      </c>
      <c r="F20" s="3">
        <f t="shared" si="0"/>
        <v>163289.724858667</v>
      </c>
      <c r="G20" s="3">
        <f t="shared" si="1"/>
        <v>22516923.04</v>
      </c>
      <c r="H20" s="3">
        <f t="shared" si="2"/>
        <v>101437259322.748</v>
      </c>
      <c r="I20" s="3">
        <f t="shared" si="3"/>
        <v>1057938724.4409</v>
      </c>
      <c r="J20" s="3">
        <f t="shared" si="4"/>
        <v>1511309022.5228</v>
      </c>
      <c r="K20" s="3">
        <f t="shared" si="5"/>
        <v>154342232.844</v>
      </c>
      <c r="L20" s="3">
        <f t="shared" si="6"/>
        <v>10359266612.0092</v>
      </c>
      <c r="M20" s="3">
        <f t="shared" si="10"/>
        <v>26663534244.4191</v>
      </c>
      <c r="N20" s="3">
        <f t="shared" si="7"/>
        <v>774842402.399345</v>
      </c>
      <c r="O20" s="3">
        <f t="shared" si="8"/>
        <v>52006498032.5737</v>
      </c>
      <c r="P20" s="3">
        <f t="shared" si="9"/>
        <v>5311156692.06125</v>
      </c>
      <c r="Q20">
        <v>2</v>
      </c>
      <c r="R20">
        <v>9</v>
      </c>
      <c r="S20">
        <f>GDP!K33</f>
        <v>99631.52</v>
      </c>
      <c r="U20">
        <f>U10</f>
        <v>0.4939281</v>
      </c>
      <c r="V20">
        <f t="shared" si="11"/>
        <v>-1.00001716292245</v>
      </c>
    </row>
    <row r="21" spans="1:22">
      <c r="A21" t="s">
        <v>60</v>
      </c>
      <c r="B21" s="3">
        <f>-CO2排放量!K34*100</f>
        <v>-62806.2528133333</v>
      </c>
      <c r="C21" s="3">
        <f>就业人口!K34</f>
        <v>4893</v>
      </c>
      <c r="D21" s="3">
        <f>资本存量!K34</f>
        <v>346860.115924502</v>
      </c>
      <c r="E21" s="3">
        <f>能源消耗量!L34</f>
        <v>32672.49</v>
      </c>
      <c r="F21" s="3">
        <f t="shared" si="0"/>
        <v>165525.232813333</v>
      </c>
      <c r="G21" s="3">
        <f t="shared" si="1"/>
        <v>23941449</v>
      </c>
      <c r="H21" s="3">
        <f t="shared" si="2"/>
        <v>120311940019.159</v>
      </c>
      <c r="I21" s="3">
        <f t="shared" si="3"/>
        <v>1067491602.8001</v>
      </c>
      <c r="J21" s="3">
        <f t="shared" si="4"/>
        <v>1697186547.21859</v>
      </c>
      <c r="K21" s="3">
        <f t="shared" si="5"/>
        <v>159866493.57</v>
      </c>
      <c r="L21" s="3">
        <f t="shared" si="6"/>
        <v>11332783668.9421</v>
      </c>
      <c r="M21" s="3">
        <f t="shared" si="10"/>
        <v>27398602697.9082</v>
      </c>
      <c r="N21" s="3">
        <f t="shared" si="7"/>
        <v>809914964.15564</v>
      </c>
      <c r="O21" s="3">
        <f t="shared" si="8"/>
        <v>57414101442.0629</v>
      </c>
      <c r="P21" s="3">
        <f t="shared" si="9"/>
        <v>5408121513.84131</v>
      </c>
      <c r="Q21">
        <v>2</v>
      </c>
      <c r="R21">
        <v>10</v>
      </c>
      <c r="S21">
        <f>GDP!K34</f>
        <v>102718.98</v>
      </c>
      <c r="U21" s="4" t="s">
        <v>61</v>
      </c>
      <c r="V21">
        <f t="shared" si="11"/>
        <v>-1.00001406566557</v>
      </c>
    </row>
    <row r="22" spans="1:22">
      <c r="A22" t="s">
        <v>62</v>
      </c>
      <c r="B22" s="3">
        <f>-CO2排放量!K35*100</f>
        <v>-39862.2661</v>
      </c>
      <c r="C22" s="3">
        <f>就业人口!K35</f>
        <v>3385</v>
      </c>
      <c r="D22" s="3">
        <f>资本存量!K35</f>
        <v>48084.5686998072</v>
      </c>
      <c r="E22" s="3">
        <f>能源消耗量!L35</f>
        <v>17827.27</v>
      </c>
      <c r="F22" s="3">
        <f t="shared" si="0"/>
        <v>72181.1161</v>
      </c>
      <c r="G22" s="3">
        <f t="shared" si="1"/>
        <v>11458225</v>
      </c>
      <c r="H22" s="3">
        <f t="shared" si="2"/>
        <v>2312125747.04648</v>
      </c>
      <c r="I22" s="3">
        <f t="shared" si="3"/>
        <v>317811555.6529</v>
      </c>
      <c r="J22" s="3">
        <f t="shared" si="4"/>
        <v>162766265.048848</v>
      </c>
      <c r="K22" s="3">
        <f t="shared" si="5"/>
        <v>60345308.95</v>
      </c>
      <c r="L22" s="3">
        <f t="shared" si="6"/>
        <v>857216589.045013</v>
      </c>
      <c r="M22" s="3">
        <f t="shared" si="10"/>
        <v>5210113521.44168</v>
      </c>
      <c r="N22" s="3">
        <f t="shared" si="7"/>
        <v>244333077.9985</v>
      </c>
      <c r="O22" s="3">
        <f t="shared" si="8"/>
        <v>3470797835.93921</v>
      </c>
      <c r="P22" s="3">
        <f t="shared" si="9"/>
        <v>1286792245.61605</v>
      </c>
      <c r="Q22">
        <v>3</v>
      </c>
      <c r="R22">
        <v>1</v>
      </c>
      <c r="S22">
        <f>GDP!K35</f>
        <v>32318.85</v>
      </c>
      <c r="U22">
        <f>U12</f>
        <v>-0.0429955</v>
      </c>
      <c r="V22">
        <f t="shared" si="11"/>
        <v>-0.999943399374014</v>
      </c>
    </row>
    <row r="23" spans="1:22">
      <c r="A23" t="s">
        <v>63</v>
      </c>
      <c r="B23" s="3">
        <f>-CO2排放量!K36*100</f>
        <v>-38359.3455378</v>
      </c>
      <c r="C23" s="3">
        <f>就业人口!K36</f>
        <v>3407</v>
      </c>
      <c r="D23" s="3">
        <f>资本存量!K36</f>
        <v>60564.4101046258</v>
      </c>
      <c r="E23" s="3">
        <f>能源消耗量!L36</f>
        <v>18076.18</v>
      </c>
      <c r="F23" s="3">
        <f t="shared" si="0"/>
        <v>73024.6755378</v>
      </c>
      <c r="G23" s="3">
        <f t="shared" si="1"/>
        <v>11607649</v>
      </c>
      <c r="H23" s="3">
        <f t="shared" si="2"/>
        <v>3668047771.32129</v>
      </c>
      <c r="I23" s="3">
        <f t="shared" si="3"/>
        <v>326748283.3924</v>
      </c>
      <c r="J23" s="3">
        <f t="shared" si="4"/>
        <v>206342945.22646</v>
      </c>
      <c r="K23" s="3">
        <f t="shared" si="5"/>
        <v>61585545.26</v>
      </c>
      <c r="L23" s="3">
        <f t="shared" si="6"/>
        <v>1094773178.64503</v>
      </c>
      <c r="M23" s="3">
        <f t="shared" si="10"/>
        <v>5332603237.40097</v>
      </c>
      <c r="N23" s="3">
        <f t="shared" si="7"/>
        <v>248795069.557285</v>
      </c>
      <c r="O23" s="3">
        <f t="shared" si="8"/>
        <v>4422696397.02855</v>
      </c>
      <c r="P23" s="3">
        <f t="shared" si="9"/>
        <v>1320007179.46287</v>
      </c>
      <c r="Q23">
        <v>3</v>
      </c>
      <c r="R23">
        <v>2</v>
      </c>
      <c r="S23">
        <f>GDP!K36</f>
        <v>34665.33</v>
      </c>
      <c r="V23">
        <f t="shared" si="11"/>
        <v>-0.999916830212971</v>
      </c>
    </row>
    <row r="24" spans="1:22">
      <c r="A24" t="s">
        <v>64</v>
      </c>
      <c r="B24" s="3">
        <f>-CO2排放量!K37*100</f>
        <v>-38756.0920826667</v>
      </c>
      <c r="C24" s="3">
        <f>就业人口!K37</f>
        <v>3436</v>
      </c>
      <c r="D24" s="3">
        <f>资本存量!K37</f>
        <v>74944.2967345817</v>
      </c>
      <c r="E24" s="3">
        <f>能源消耗量!L37</f>
        <v>18640</v>
      </c>
      <c r="F24" s="3">
        <f t="shared" si="0"/>
        <v>76512.6720826667</v>
      </c>
      <c r="G24" s="3">
        <f t="shared" si="1"/>
        <v>11806096</v>
      </c>
      <c r="H24" s="3">
        <f t="shared" si="2"/>
        <v>5616647613.04103</v>
      </c>
      <c r="I24" s="3">
        <f t="shared" si="3"/>
        <v>347449600</v>
      </c>
      <c r="J24" s="3">
        <f t="shared" si="4"/>
        <v>257508603.580023</v>
      </c>
      <c r="K24" s="3">
        <f t="shared" si="5"/>
        <v>64047040</v>
      </c>
      <c r="L24" s="3">
        <f t="shared" si="6"/>
        <v>1396961691.1326</v>
      </c>
      <c r="M24" s="3">
        <f t="shared" si="10"/>
        <v>5854188989.22968</v>
      </c>
      <c r="N24" s="3">
        <f t="shared" si="7"/>
        <v>262897541.276043</v>
      </c>
      <c r="O24" s="3">
        <f t="shared" si="8"/>
        <v>5734188400.51911</v>
      </c>
      <c r="P24" s="3">
        <f t="shared" si="9"/>
        <v>1426196207.62091</v>
      </c>
      <c r="Q24">
        <v>3</v>
      </c>
      <c r="R24">
        <v>3</v>
      </c>
      <c r="S24">
        <f>GDP!K37</f>
        <v>37756.58</v>
      </c>
      <c r="V24">
        <f t="shared" si="11"/>
        <v>-0.999860574041536</v>
      </c>
    </row>
    <row r="25" spans="1:22">
      <c r="A25" t="s">
        <v>65</v>
      </c>
      <c r="B25" s="3">
        <f>-CO2排放量!K38*100</f>
        <v>-38079.4701654883</v>
      </c>
      <c r="C25" s="3">
        <f>就业人口!K38</f>
        <v>3459</v>
      </c>
      <c r="D25" s="3">
        <f>资本存量!K38</f>
        <v>91304.4042480618</v>
      </c>
      <c r="E25" s="3">
        <f>能源消耗量!L38</f>
        <v>18826</v>
      </c>
      <c r="F25" s="3">
        <f t="shared" si="0"/>
        <v>78252.5001654883</v>
      </c>
      <c r="G25" s="3">
        <f t="shared" si="1"/>
        <v>11964681</v>
      </c>
      <c r="H25" s="3">
        <f t="shared" si="2"/>
        <v>8336494235.09349</v>
      </c>
      <c r="I25" s="3">
        <f t="shared" si="3"/>
        <v>354418276</v>
      </c>
      <c r="J25" s="3">
        <f t="shared" si="4"/>
        <v>315821934.294046</v>
      </c>
      <c r="K25" s="3">
        <f t="shared" si="5"/>
        <v>65119134</v>
      </c>
      <c r="L25" s="3">
        <f t="shared" si="6"/>
        <v>1718896714.37401</v>
      </c>
      <c r="M25" s="3">
        <f t="shared" si="10"/>
        <v>6123453782.14975</v>
      </c>
      <c r="N25" s="3">
        <f t="shared" si="7"/>
        <v>270675398.072424</v>
      </c>
      <c r="O25" s="3">
        <f t="shared" si="8"/>
        <v>7144797908.53127</v>
      </c>
      <c r="P25" s="3">
        <f t="shared" si="9"/>
        <v>1473181568.11548</v>
      </c>
      <c r="Q25">
        <v>3</v>
      </c>
      <c r="R25">
        <v>4</v>
      </c>
      <c r="S25">
        <f>GDP!K38</f>
        <v>40173.03</v>
      </c>
      <c r="V25">
        <f t="shared" si="11"/>
        <v>-0.994839341540932</v>
      </c>
    </row>
    <row r="26" spans="1:22">
      <c r="A26" t="s">
        <v>66</v>
      </c>
      <c r="B26" s="3">
        <f>-CO2排放量!K39*100</f>
        <v>-38150.131998</v>
      </c>
      <c r="C26" s="3">
        <f>就业人口!K39</f>
        <v>3505</v>
      </c>
      <c r="D26" s="3">
        <f>资本存量!K39</f>
        <v>109203.901440248</v>
      </c>
      <c r="E26" s="3">
        <f>能源消耗量!L39</f>
        <v>19610</v>
      </c>
      <c r="F26" s="3">
        <f t="shared" si="0"/>
        <v>81036.621998</v>
      </c>
      <c r="G26" s="3">
        <f t="shared" si="1"/>
        <v>12285025</v>
      </c>
      <c r="H26" s="3">
        <f t="shared" si="2"/>
        <v>11925492089.7714</v>
      </c>
      <c r="I26" s="3">
        <f t="shared" si="3"/>
        <v>384552100</v>
      </c>
      <c r="J26" s="3">
        <f t="shared" si="4"/>
        <v>382759674.548069</v>
      </c>
      <c r="K26" s="3">
        <f t="shared" si="5"/>
        <v>68733050</v>
      </c>
      <c r="L26" s="3">
        <f t="shared" si="6"/>
        <v>2141488507.24326</v>
      </c>
      <c r="M26" s="3">
        <f t="shared" si="10"/>
        <v>6566934104.84674</v>
      </c>
      <c r="N26" s="3">
        <f t="shared" si="7"/>
        <v>284033360.10299</v>
      </c>
      <c r="O26" s="3">
        <f t="shared" si="8"/>
        <v>8849515281.72022</v>
      </c>
      <c r="P26" s="3">
        <f t="shared" si="9"/>
        <v>1589128157.38078</v>
      </c>
      <c r="Q26">
        <v>3</v>
      </c>
      <c r="R26">
        <v>5</v>
      </c>
      <c r="S26">
        <f>GDP!K39</f>
        <v>42886.49</v>
      </c>
      <c r="V26">
        <f t="shared" si="11"/>
        <v>-1.00014533841989</v>
      </c>
    </row>
    <row r="27" spans="1:22">
      <c r="A27" t="s">
        <v>67</v>
      </c>
      <c r="B27" s="3">
        <f>-CO2排放量!K40*100</f>
        <v>-37917.6537352796</v>
      </c>
      <c r="C27" s="3">
        <f>就业人口!K40</f>
        <v>3552</v>
      </c>
      <c r="D27" s="3">
        <f>资本存量!K40</f>
        <v>128291.326901984</v>
      </c>
      <c r="E27" s="3">
        <f>能源消耗量!L40</f>
        <v>20275.6</v>
      </c>
      <c r="F27" s="3">
        <f t="shared" si="0"/>
        <v>85169.0137352796</v>
      </c>
      <c r="G27" s="3">
        <f t="shared" si="1"/>
        <v>12616704</v>
      </c>
      <c r="H27" s="3">
        <f t="shared" si="2"/>
        <v>16458664558.2718</v>
      </c>
      <c r="I27" s="3">
        <f t="shared" si="3"/>
        <v>411099955.36</v>
      </c>
      <c r="J27" s="3">
        <f t="shared" si="4"/>
        <v>455690793.155848</v>
      </c>
      <c r="K27" s="3">
        <f t="shared" si="5"/>
        <v>72018931.2</v>
      </c>
      <c r="L27" s="3">
        <f t="shared" si="6"/>
        <v>2601183627.73387</v>
      </c>
      <c r="M27" s="3">
        <f t="shared" si="10"/>
        <v>7253760900.64025</v>
      </c>
      <c r="N27" s="3">
        <f t="shared" si="7"/>
        <v>302520336.787713</v>
      </c>
      <c r="O27" s="3">
        <f t="shared" si="8"/>
        <v>10926445783.0323</v>
      </c>
      <c r="P27" s="3">
        <f t="shared" si="9"/>
        <v>1726852854.89104</v>
      </c>
      <c r="Q27">
        <v>3</v>
      </c>
      <c r="R27">
        <v>6</v>
      </c>
      <c r="S27">
        <f>GDP!K40</f>
        <v>47251.36</v>
      </c>
      <c r="V27">
        <f t="shared" si="11"/>
        <v>-1.00007317516346</v>
      </c>
    </row>
    <row r="28" spans="1:22">
      <c r="A28" t="s">
        <v>68</v>
      </c>
      <c r="B28" s="3">
        <f>-CO2排放量!K41*100</f>
        <v>-40144.067626407</v>
      </c>
      <c r="C28" s="3">
        <f>就业人口!K41</f>
        <v>3613</v>
      </c>
      <c r="D28" s="3">
        <f>资本存量!K41</f>
        <v>147101.349519394</v>
      </c>
      <c r="E28" s="3">
        <f>能源消耗量!L41</f>
        <v>21030.01</v>
      </c>
      <c r="F28" s="3">
        <f t="shared" si="0"/>
        <v>91912.327626407</v>
      </c>
      <c r="G28" s="3">
        <f t="shared" si="1"/>
        <v>13053769</v>
      </c>
      <c r="H28" s="3">
        <f t="shared" si="2"/>
        <v>21638807030.4268</v>
      </c>
      <c r="I28" s="3">
        <f t="shared" si="3"/>
        <v>442261320.6001</v>
      </c>
      <c r="J28" s="3">
        <f t="shared" si="4"/>
        <v>531477175.813569</v>
      </c>
      <c r="K28" s="3">
        <f t="shared" si="5"/>
        <v>75981426.13</v>
      </c>
      <c r="L28" s="3">
        <f t="shared" si="6"/>
        <v>3093542851.40634</v>
      </c>
      <c r="M28" s="3">
        <f t="shared" si="10"/>
        <v>8447875969.70398</v>
      </c>
      <c r="N28" s="3">
        <f t="shared" si="7"/>
        <v>332079239.714208</v>
      </c>
      <c r="O28" s="3">
        <f t="shared" si="8"/>
        <v>13520427431.3131</v>
      </c>
      <c r="P28" s="3">
        <f t="shared" si="9"/>
        <v>1932917169.10662</v>
      </c>
      <c r="Q28">
        <v>3</v>
      </c>
      <c r="R28">
        <v>7</v>
      </c>
      <c r="S28">
        <f>GDP!K41</f>
        <v>51768.26</v>
      </c>
      <c r="V28">
        <f t="shared" si="11"/>
        <v>-1.00005368184723</v>
      </c>
    </row>
    <row r="29" spans="1:22">
      <c r="A29" t="s">
        <v>69</v>
      </c>
      <c r="B29" s="3">
        <f>-CO2排放量!K42*100</f>
        <v>-40165.882536</v>
      </c>
      <c r="C29" s="3">
        <f>就业人口!K42</f>
        <v>3691</v>
      </c>
      <c r="D29" s="3">
        <f>资本存量!K42</f>
        <v>166315.555255532</v>
      </c>
      <c r="E29" s="3">
        <f>能源消耗量!L42</f>
        <v>21674.56</v>
      </c>
      <c r="F29" s="3">
        <f t="shared" si="0"/>
        <v>98168.882536</v>
      </c>
      <c r="G29" s="3">
        <f t="shared" si="1"/>
        <v>13623481</v>
      </c>
      <c r="H29" s="3">
        <f t="shared" si="2"/>
        <v>27660863919.9559</v>
      </c>
      <c r="I29" s="3">
        <f t="shared" si="3"/>
        <v>469786551.1936</v>
      </c>
      <c r="J29" s="3">
        <f t="shared" si="4"/>
        <v>613870714.448168</v>
      </c>
      <c r="K29" s="3">
        <f t="shared" si="5"/>
        <v>80000800.96</v>
      </c>
      <c r="L29" s="3">
        <f t="shared" si="6"/>
        <v>3604816481.31934</v>
      </c>
      <c r="M29" s="3">
        <f t="shared" si="10"/>
        <v>9637129498.36696</v>
      </c>
      <c r="N29" s="3">
        <f t="shared" si="7"/>
        <v>362341345.440376</v>
      </c>
      <c r="O29" s="3">
        <f t="shared" si="8"/>
        <v>16327012207.7899</v>
      </c>
      <c r="P29" s="3">
        <f t="shared" si="9"/>
        <v>2127767334.65948</v>
      </c>
      <c r="Q29">
        <v>3</v>
      </c>
      <c r="R29">
        <v>8</v>
      </c>
      <c r="S29">
        <f>GDP!K42</f>
        <v>58003</v>
      </c>
      <c r="V29">
        <f t="shared" si="11"/>
        <v>-1.00004141320756</v>
      </c>
    </row>
    <row r="30" spans="1:22">
      <c r="A30" t="s">
        <v>70</v>
      </c>
      <c r="B30" s="3">
        <f>-CO2排放量!K43*100</f>
        <v>-41914.662584</v>
      </c>
      <c r="C30" s="3">
        <f>就业人口!K43</f>
        <v>3771</v>
      </c>
      <c r="D30" s="3">
        <f>资本存量!K43</f>
        <v>187052.126705291</v>
      </c>
      <c r="E30" s="3">
        <f>能源消耗量!L43</f>
        <v>22393</v>
      </c>
      <c r="F30" s="3">
        <f t="shared" si="0"/>
        <v>104266.402584</v>
      </c>
      <c r="G30" s="3">
        <f t="shared" si="1"/>
        <v>14220441</v>
      </c>
      <c r="H30" s="3">
        <f t="shared" si="2"/>
        <v>34988498104.9722</v>
      </c>
      <c r="I30" s="3">
        <f t="shared" si="3"/>
        <v>501446449</v>
      </c>
      <c r="J30" s="3">
        <f t="shared" si="4"/>
        <v>705373569.805652</v>
      </c>
      <c r="K30" s="3">
        <f t="shared" si="5"/>
        <v>84444003</v>
      </c>
      <c r="L30" s="3">
        <f t="shared" si="6"/>
        <v>4188658273.31158</v>
      </c>
      <c r="M30" s="3">
        <f t="shared" si="10"/>
        <v>10871482707.8088</v>
      </c>
      <c r="N30" s="3">
        <f t="shared" si="7"/>
        <v>393188604.144264</v>
      </c>
      <c r="O30" s="3">
        <f t="shared" si="8"/>
        <v>19503252347.2472</v>
      </c>
      <c r="P30" s="3">
        <f t="shared" si="9"/>
        <v>2334837553.06351</v>
      </c>
      <c r="Q30">
        <v>3</v>
      </c>
      <c r="R30">
        <v>9</v>
      </c>
      <c r="S30">
        <f>GDP!K43</f>
        <v>62351.74</v>
      </c>
      <c r="V30">
        <f t="shared" si="11"/>
        <v>-1.00003276294982</v>
      </c>
    </row>
    <row r="31" spans="1:22">
      <c r="A31" t="s">
        <v>71</v>
      </c>
      <c r="B31" s="3">
        <f>-CO2排放量!K44*100</f>
        <v>-45455.4512266667</v>
      </c>
      <c r="C31" s="3">
        <f>就业人口!K44</f>
        <v>3857</v>
      </c>
      <c r="D31" s="3">
        <f>资本存量!K44</f>
        <v>207779.941992605</v>
      </c>
      <c r="E31" s="3">
        <f>能源消耗量!L44</f>
        <v>24660</v>
      </c>
      <c r="F31" s="3">
        <f t="shared" si="0"/>
        <v>110068.791226667</v>
      </c>
      <c r="G31" s="3">
        <f t="shared" si="1"/>
        <v>14876449</v>
      </c>
      <c r="H31" s="3">
        <f t="shared" si="2"/>
        <v>43172504294.4501</v>
      </c>
      <c r="I31" s="3">
        <f t="shared" si="3"/>
        <v>608115600</v>
      </c>
      <c r="J31" s="3">
        <f t="shared" si="4"/>
        <v>801407236.265476</v>
      </c>
      <c r="K31" s="3">
        <f t="shared" si="5"/>
        <v>95113620</v>
      </c>
      <c r="L31" s="3">
        <f t="shared" si="6"/>
        <v>5123853369.53763</v>
      </c>
      <c r="M31" s="3">
        <f t="shared" si="10"/>
        <v>12115138802.0995</v>
      </c>
      <c r="N31" s="3">
        <f t="shared" si="7"/>
        <v>424535327.761253</v>
      </c>
      <c r="O31" s="3">
        <f t="shared" si="8"/>
        <v>22870087056.2729</v>
      </c>
      <c r="P31" s="3">
        <f t="shared" si="9"/>
        <v>2714296391.6496</v>
      </c>
      <c r="Q31">
        <v>3</v>
      </c>
      <c r="R31">
        <v>10</v>
      </c>
      <c r="S31">
        <f>GDP!K44</f>
        <v>64613.34</v>
      </c>
      <c r="V31">
        <f t="shared" si="11"/>
        <v>-1.00002700389731</v>
      </c>
    </row>
    <row r="32" spans="1:22">
      <c r="A32" t="s">
        <v>72</v>
      </c>
      <c r="B32" s="3">
        <f>-CO2排放量!K45*100</f>
        <v>-31538.7194186667</v>
      </c>
      <c r="C32" s="3">
        <f>就业人口!K45</f>
        <v>4120.9</v>
      </c>
      <c r="D32" s="3">
        <f>资本存量!K45</f>
        <v>39588.9178838985</v>
      </c>
      <c r="E32" s="3">
        <f>能源消耗量!L45</f>
        <v>10570.23</v>
      </c>
      <c r="F32" s="3">
        <f t="shared" si="0"/>
        <v>46839.3694186667</v>
      </c>
      <c r="G32" s="3">
        <f t="shared" si="1"/>
        <v>16981816.81</v>
      </c>
      <c r="H32" s="3">
        <f t="shared" si="2"/>
        <v>1567282419.21806</v>
      </c>
      <c r="I32" s="3">
        <f t="shared" si="3"/>
        <v>111729762.2529</v>
      </c>
      <c r="J32" s="3">
        <f t="shared" si="4"/>
        <v>163141971.707757</v>
      </c>
      <c r="K32" s="3">
        <f t="shared" si="5"/>
        <v>43558860.807</v>
      </c>
      <c r="L32" s="3">
        <f t="shared" si="6"/>
        <v>418463967.483921</v>
      </c>
      <c r="M32" s="3">
        <f t="shared" si="10"/>
        <v>2193926527.53833</v>
      </c>
      <c r="N32" s="3">
        <f t="shared" si="7"/>
        <v>193020357.437383</v>
      </c>
      <c r="O32" s="3">
        <f t="shared" si="8"/>
        <v>1854319949.64918</v>
      </c>
      <c r="P32" s="3">
        <f t="shared" si="9"/>
        <v>495102907.810273</v>
      </c>
      <c r="Q32">
        <v>4</v>
      </c>
      <c r="R32">
        <v>1</v>
      </c>
      <c r="S32">
        <f>GDP!K45</f>
        <v>15300.65</v>
      </c>
      <c r="V32">
        <f t="shared" si="11"/>
        <v>-0.999716394047912</v>
      </c>
    </row>
    <row r="33" spans="1:22">
      <c r="A33" t="s">
        <v>73</v>
      </c>
      <c r="B33" s="3">
        <f>-CO2排放量!K46*100</f>
        <v>-35590.6996733333</v>
      </c>
      <c r="C33" s="3">
        <f>就业人口!K46</f>
        <v>4206.8</v>
      </c>
      <c r="D33" s="3">
        <f>资本存量!K46</f>
        <v>50843.3327670443</v>
      </c>
      <c r="E33" s="3">
        <f>能源消耗量!L46</f>
        <v>11357.95</v>
      </c>
      <c r="F33" s="3">
        <f t="shared" si="0"/>
        <v>52802.7502883333</v>
      </c>
      <c r="G33" s="3">
        <f t="shared" si="1"/>
        <v>17697166.24</v>
      </c>
      <c r="H33" s="3">
        <f t="shared" si="2"/>
        <v>2585044486.8604</v>
      </c>
      <c r="I33" s="3">
        <f t="shared" si="3"/>
        <v>129003028.2025</v>
      </c>
      <c r="J33" s="3">
        <f t="shared" si="4"/>
        <v>213887732.284402</v>
      </c>
      <c r="K33" s="3">
        <f t="shared" si="5"/>
        <v>47780624.06</v>
      </c>
      <c r="L33" s="3">
        <f t="shared" si="6"/>
        <v>577476031.401451</v>
      </c>
      <c r="M33" s="3">
        <f t="shared" si="10"/>
        <v>2788130438.01209</v>
      </c>
      <c r="N33" s="3">
        <f t="shared" si="7"/>
        <v>222130609.912961</v>
      </c>
      <c r="O33" s="3">
        <f t="shared" si="8"/>
        <v>2684667803.92487</v>
      </c>
      <c r="P33" s="3">
        <f t="shared" si="9"/>
        <v>599730997.637376</v>
      </c>
      <c r="Q33">
        <v>4</v>
      </c>
      <c r="R33">
        <v>2</v>
      </c>
      <c r="S33">
        <f>GDP!K46</f>
        <v>17212.050615</v>
      </c>
      <c r="V33">
        <f t="shared" si="11"/>
        <v>-0.999424553963942</v>
      </c>
    </row>
    <row r="34" spans="1:22">
      <c r="A34" t="s">
        <v>74</v>
      </c>
      <c r="B34" s="3">
        <f>-CO2排放量!K47*100</f>
        <v>-38718.0040413333</v>
      </c>
      <c r="C34" s="3">
        <f>就业人口!K47</f>
        <v>4275.9</v>
      </c>
      <c r="D34" s="3">
        <f>资本存量!K47</f>
        <v>64213.494021408</v>
      </c>
      <c r="E34" s="3">
        <f>能源消耗量!L47</f>
        <v>12060.36</v>
      </c>
      <c r="F34" s="3">
        <f t="shared" ref="F34:F65" si="12">S34-B34</f>
        <v>57947.3411413333</v>
      </c>
      <c r="G34" s="3">
        <f t="shared" ref="G34:G65" si="13">C34*C34</f>
        <v>18283320.81</v>
      </c>
      <c r="H34" s="3">
        <f t="shared" ref="H34:H65" si="14">D34*D34</f>
        <v>4123372814.4374</v>
      </c>
      <c r="I34" s="3">
        <f t="shared" ref="I34:I65" si="15">E34*E34</f>
        <v>145452283.3296</v>
      </c>
      <c r="J34" s="3">
        <f t="shared" ref="J34:J65" si="16">C34*D34</f>
        <v>274570479.086139</v>
      </c>
      <c r="K34" s="3">
        <f t="shared" ref="K34:K65" si="17">C34*E34</f>
        <v>51568893.324</v>
      </c>
      <c r="L34" s="3">
        <f t="shared" ref="L34:L65" si="18">D34*E34</f>
        <v>774437854.756028</v>
      </c>
      <c r="M34" s="3">
        <f t="shared" ref="M34:M65" si="19">F34*F34</f>
        <v>3357894345.35006</v>
      </c>
      <c r="N34" s="3">
        <f t="shared" ref="N34:N65" si="20">C34*F34</f>
        <v>247777035.986227</v>
      </c>
      <c r="O34" s="3">
        <f t="shared" ref="O34:O65" si="21">D34*F34</f>
        <v>3721001243.9355</v>
      </c>
      <c r="P34" s="3">
        <f t="shared" ref="P34:P65" si="22">E34*F34</f>
        <v>698865795.207291</v>
      </c>
      <c r="Q34">
        <v>4</v>
      </c>
      <c r="R34">
        <v>3</v>
      </c>
      <c r="S34">
        <f>GDP!K47</f>
        <v>19229.3371</v>
      </c>
      <c r="V34">
        <f t="shared" ref="V34:V65" si="23">-($U$2+$U$4*B34*(-1)+$U$8*C34+$U$10*D34+$U$12*E34+$U$6*S34)/($U$14+$U$16*S34+$U$18*C34+$U$20*D34+$U$22*E34+$U$6*B34*(-1))</f>
        <v>-1.00062404067104</v>
      </c>
    </row>
    <row r="35" spans="1:22">
      <c r="A35" t="s">
        <v>75</v>
      </c>
      <c r="B35" s="3">
        <f>-CO2排放量!K48*100</f>
        <v>-40179.524150701</v>
      </c>
      <c r="C35" s="3">
        <f>就业人口!K48</f>
        <v>4311</v>
      </c>
      <c r="D35" s="3">
        <f>资本存量!K48</f>
        <v>79305.2924953529</v>
      </c>
      <c r="E35" s="3">
        <f>能源消耗量!L48</f>
        <v>12011.02</v>
      </c>
      <c r="F35" s="3">
        <f t="shared" si="12"/>
        <v>61028.271751701</v>
      </c>
      <c r="G35" s="3">
        <f t="shared" si="13"/>
        <v>18584721</v>
      </c>
      <c r="H35" s="3">
        <f t="shared" si="14"/>
        <v>6289329417.77347</v>
      </c>
      <c r="I35" s="3">
        <f t="shared" si="15"/>
        <v>144264601.4404</v>
      </c>
      <c r="J35" s="3">
        <f t="shared" si="16"/>
        <v>341885115.947466</v>
      </c>
      <c r="K35" s="3">
        <f t="shared" si="17"/>
        <v>51779507.22</v>
      </c>
      <c r="L35" s="3">
        <f t="shared" si="18"/>
        <v>952537454.267533</v>
      </c>
      <c r="M35" s="3">
        <f t="shared" si="19"/>
        <v>3724449952.99947</v>
      </c>
      <c r="N35" s="3">
        <f t="shared" si="20"/>
        <v>263092879.521583</v>
      </c>
      <c r="O35" s="3">
        <f t="shared" si="21"/>
        <v>4839864941.75453</v>
      </c>
      <c r="P35" s="3">
        <f t="shared" si="22"/>
        <v>733011792.575116</v>
      </c>
      <c r="Q35">
        <v>4</v>
      </c>
      <c r="R35">
        <v>4</v>
      </c>
      <c r="S35">
        <f>GDP!K48</f>
        <v>20848.747601</v>
      </c>
      <c r="V35">
        <f t="shared" si="23"/>
        <v>-1.00014064331171</v>
      </c>
    </row>
    <row r="36" spans="1:22">
      <c r="A36" t="s">
        <v>76</v>
      </c>
      <c r="B36" s="3">
        <f>-CO2排放量!K49*100</f>
        <v>-39284.8295426667</v>
      </c>
      <c r="C36" s="3">
        <f>就业人口!K49</f>
        <v>4342.1</v>
      </c>
      <c r="D36" s="3">
        <f>资本存量!K49</f>
        <v>95657.535915799</v>
      </c>
      <c r="E36" s="3">
        <f>能源消耗量!L49</f>
        <v>12301.23</v>
      </c>
      <c r="F36" s="3">
        <f t="shared" si="12"/>
        <v>61290.4595426667</v>
      </c>
      <c r="G36" s="3">
        <f t="shared" si="13"/>
        <v>18853832.41</v>
      </c>
      <c r="H36" s="3">
        <f t="shared" si="14"/>
        <v>9150364177.48237</v>
      </c>
      <c r="I36" s="3">
        <f t="shared" si="15"/>
        <v>151320259.5129</v>
      </c>
      <c r="J36" s="3">
        <f t="shared" si="16"/>
        <v>415354586.699991</v>
      </c>
      <c r="K36" s="3">
        <f t="shared" si="17"/>
        <v>53413170.783</v>
      </c>
      <c r="L36" s="3">
        <f t="shared" si="18"/>
        <v>1176705350.5335</v>
      </c>
      <c r="M36" s="3">
        <f t="shared" si="19"/>
        <v>3756520430.95126</v>
      </c>
      <c r="N36" s="3">
        <f t="shared" si="20"/>
        <v>266129304.380213</v>
      </c>
      <c r="O36" s="3">
        <f t="shared" si="21"/>
        <v>5862894334.99846</v>
      </c>
      <c r="P36" s="3">
        <f t="shared" si="22"/>
        <v>753948039.640037</v>
      </c>
      <c r="Q36">
        <v>4</v>
      </c>
      <c r="R36">
        <v>5</v>
      </c>
      <c r="S36">
        <f>GDP!K49</f>
        <v>22005.63</v>
      </c>
      <c r="V36">
        <f t="shared" si="23"/>
        <v>-1.00006638557259</v>
      </c>
    </row>
    <row r="37" spans="1:22">
      <c r="A37" t="s">
        <v>77</v>
      </c>
      <c r="B37" s="3">
        <f>-CO2排放量!K50*100</f>
        <v>-38017.7314681809</v>
      </c>
      <c r="C37" s="3">
        <f>就业人口!K50</f>
        <v>4361.6</v>
      </c>
      <c r="D37" s="3">
        <f>资本存量!K50</f>
        <v>113232.523967882</v>
      </c>
      <c r="E37" s="3">
        <f>能源消耗量!L50</f>
        <v>12662.89</v>
      </c>
      <c r="F37" s="3">
        <f t="shared" si="12"/>
        <v>62425.3514681809</v>
      </c>
      <c r="G37" s="3">
        <f t="shared" si="13"/>
        <v>19023554.56</v>
      </c>
      <c r="H37" s="3">
        <f t="shared" si="14"/>
        <v>12821604484.137</v>
      </c>
      <c r="I37" s="3">
        <f t="shared" si="15"/>
        <v>160348783.1521</v>
      </c>
      <c r="J37" s="3">
        <f t="shared" si="16"/>
        <v>493874976.538315</v>
      </c>
      <c r="K37" s="3">
        <f t="shared" si="17"/>
        <v>55230461.024</v>
      </c>
      <c r="L37" s="3">
        <f t="shared" si="18"/>
        <v>1433850995.42766</v>
      </c>
      <c r="M37" s="3">
        <f t="shared" si="19"/>
        <v>3896924505.92591</v>
      </c>
      <c r="N37" s="3">
        <f t="shared" si="20"/>
        <v>272274412.963618</v>
      </c>
      <c r="O37" s="3">
        <f t="shared" si="21"/>
        <v>7068580106.32427</v>
      </c>
      <c r="P37" s="3">
        <f t="shared" si="22"/>
        <v>790485358.852913</v>
      </c>
      <c r="Q37">
        <v>4</v>
      </c>
      <c r="R37">
        <v>6</v>
      </c>
      <c r="S37">
        <f>GDP!K50</f>
        <v>24407.62</v>
      </c>
      <c r="V37">
        <f t="shared" si="23"/>
        <v>-1.00004343341976</v>
      </c>
    </row>
    <row r="38" spans="1:22">
      <c r="A38" t="s">
        <v>78</v>
      </c>
      <c r="B38" s="3">
        <f>-CO2排放量!K51*100</f>
        <v>-39701.6382828369</v>
      </c>
      <c r="C38" s="3">
        <f>就业人口!K51</f>
        <v>4377.9</v>
      </c>
      <c r="D38" s="3">
        <f>资本存量!K51</f>
        <v>131548.158066966</v>
      </c>
      <c r="E38" s="3">
        <f>能源消耗量!L51</f>
        <v>13018.71</v>
      </c>
      <c r="F38" s="3">
        <f t="shared" si="12"/>
        <v>66719.6382828369</v>
      </c>
      <c r="G38" s="3">
        <f t="shared" si="13"/>
        <v>19166008.41</v>
      </c>
      <c r="H38" s="3">
        <f t="shared" si="14"/>
        <v>17304917890.8114</v>
      </c>
      <c r="I38" s="3">
        <f t="shared" si="15"/>
        <v>169486810.0641</v>
      </c>
      <c r="J38" s="3">
        <f t="shared" si="16"/>
        <v>575904681.201369</v>
      </c>
      <c r="K38" s="3">
        <f t="shared" si="17"/>
        <v>56994610.509</v>
      </c>
      <c r="L38" s="3">
        <f t="shared" si="18"/>
        <v>1712587320.90799</v>
      </c>
      <c r="M38" s="3">
        <f t="shared" si="19"/>
        <v>4451510132.5926</v>
      </c>
      <c r="N38" s="3">
        <f t="shared" si="20"/>
        <v>292091904.438432</v>
      </c>
      <c r="O38" s="3">
        <f t="shared" si="21"/>
        <v>8776845523.0014</v>
      </c>
      <c r="P38" s="3">
        <f t="shared" si="22"/>
        <v>868603622.109152</v>
      </c>
      <c r="Q38">
        <v>4</v>
      </c>
      <c r="R38">
        <v>7</v>
      </c>
      <c r="S38">
        <f>GDP!K51</f>
        <v>27018</v>
      </c>
      <c r="V38">
        <f t="shared" si="23"/>
        <v>-1.0000341584188</v>
      </c>
    </row>
    <row r="39" spans="1:22">
      <c r="A39" t="s">
        <v>79</v>
      </c>
      <c r="B39" s="3">
        <f>-CO2排放量!K52*100</f>
        <v>-39242.8504106667</v>
      </c>
      <c r="C39" s="3">
        <f>就业人口!K52</f>
        <v>4385.3</v>
      </c>
      <c r="D39" s="3">
        <f>资本存量!K52</f>
        <v>151549.434147737</v>
      </c>
      <c r="E39" s="3">
        <f>能源消耗量!L52</f>
        <v>13294.71</v>
      </c>
      <c r="F39" s="3">
        <f t="shared" si="12"/>
        <v>73253.7504106667</v>
      </c>
      <c r="G39" s="3">
        <f t="shared" si="13"/>
        <v>19230856.09</v>
      </c>
      <c r="H39" s="3">
        <f t="shared" si="14"/>
        <v>22967230990.4992</v>
      </c>
      <c r="I39" s="3">
        <f t="shared" si="15"/>
        <v>176749313.9841</v>
      </c>
      <c r="J39" s="3">
        <f t="shared" si="16"/>
        <v>664589733.568071</v>
      </c>
      <c r="K39" s="3">
        <f t="shared" si="17"/>
        <v>58301291.763</v>
      </c>
      <c r="L39" s="3">
        <f t="shared" si="18"/>
        <v>2014805777.65826</v>
      </c>
      <c r="M39" s="3">
        <f t="shared" si="19"/>
        <v>5366111949.22825</v>
      </c>
      <c r="N39" s="3">
        <f t="shared" si="20"/>
        <v>321239671.675896</v>
      </c>
      <c r="O39" s="3">
        <f t="shared" si="21"/>
        <v>11101564423.9361</v>
      </c>
      <c r="P39" s="3">
        <f t="shared" si="22"/>
        <v>973887368.122194</v>
      </c>
      <c r="Q39">
        <v>4</v>
      </c>
      <c r="R39">
        <v>8</v>
      </c>
      <c r="S39">
        <f>GDP!K52</f>
        <v>34010.9</v>
      </c>
      <c r="V39">
        <f t="shared" si="23"/>
        <v>-1.00002867035923</v>
      </c>
    </row>
    <row r="40" spans="1:22">
      <c r="A40" t="s">
        <v>80</v>
      </c>
      <c r="B40" s="3">
        <f>-CO2排放量!K53*100</f>
        <v>-39896.2470933333</v>
      </c>
      <c r="C40" s="3">
        <f>就业人口!K53</f>
        <v>4384</v>
      </c>
      <c r="D40" s="3">
        <f>资本存量!K53</f>
        <v>172632.538456233</v>
      </c>
      <c r="E40" s="3">
        <f>能源消耗量!L53</f>
        <v>13869.73</v>
      </c>
      <c r="F40" s="3">
        <f t="shared" si="12"/>
        <v>77010.2270933333</v>
      </c>
      <c r="G40" s="3">
        <f t="shared" si="13"/>
        <v>19219456</v>
      </c>
      <c r="H40" s="3">
        <f t="shared" si="14"/>
        <v>29801993333.8426</v>
      </c>
      <c r="I40" s="3">
        <f t="shared" si="15"/>
        <v>192369410.2729</v>
      </c>
      <c r="J40" s="3">
        <f t="shared" si="16"/>
        <v>756821048.592124</v>
      </c>
      <c r="K40" s="3">
        <f t="shared" si="17"/>
        <v>60804896.32</v>
      </c>
      <c r="L40" s="3">
        <f t="shared" si="18"/>
        <v>2394366697.60256</v>
      </c>
      <c r="M40" s="3">
        <f t="shared" si="19"/>
        <v>5930575076.96677</v>
      </c>
      <c r="N40" s="3">
        <f t="shared" si="20"/>
        <v>337612835.577173</v>
      </c>
      <c r="O40" s="3">
        <f t="shared" si="21"/>
        <v>13294470990.2131</v>
      </c>
      <c r="P40" s="3">
        <f t="shared" si="22"/>
        <v>1068111057.02322</v>
      </c>
      <c r="Q40">
        <v>4</v>
      </c>
      <c r="R40">
        <v>9</v>
      </c>
      <c r="S40">
        <f>GDP!K53</f>
        <v>37113.98</v>
      </c>
      <c r="V40">
        <f t="shared" si="23"/>
        <v>-1.00002336113305</v>
      </c>
    </row>
    <row r="41" spans="1:22">
      <c r="A41" t="s">
        <v>81</v>
      </c>
      <c r="B41" s="3">
        <f>-CO2排放量!K54*100</f>
        <v>-39717.0869933333</v>
      </c>
      <c r="C41" s="3">
        <f>就业人口!K54</f>
        <v>3243</v>
      </c>
      <c r="D41" s="3">
        <f>资本存量!K54</f>
        <v>193508.889100433</v>
      </c>
      <c r="E41" s="3">
        <f>能源消耗量!L54</f>
        <v>14697.9</v>
      </c>
      <c r="F41" s="3">
        <f t="shared" si="12"/>
        <v>78397.7169933333</v>
      </c>
      <c r="G41" s="3">
        <f t="shared" si="13"/>
        <v>10517049</v>
      </c>
      <c r="H41" s="3">
        <f t="shared" si="14"/>
        <v>37445690160.8838</v>
      </c>
      <c r="I41" s="3">
        <f t="shared" si="15"/>
        <v>216028264.41</v>
      </c>
      <c r="J41" s="3">
        <f t="shared" si="16"/>
        <v>627549327.352705</v>
      </c>
      <c r="K41" s="3">
        <f t="shared" si="17"/>
        <v>47665289.7</v>
      </c>
      <c r="L41" s="3">
        <f t="shared" si="18"/>
        <v>2844174301.10926</v>
      </c>
      <c r="M41" s="3">
        <f t="shared" si="19"/>
        <v>6146202029.76679</v>
      </c>
      <c r="N41" s="3">
        <f t="shared" si="20"/>
        <v>254243796.20938</v>
      </c>
      <c r="O41" s="3">
        <f t="shared" si="21"/>
        <v>15170655123.3901</v>
      </c>
      <c r="P41" s="3">
        <f t="shared" si="22"/>
        <v>1152281804.59631</v>
      </c>
      <c r="Q41">
        <v>4</v>
      </c>
      <c r="R41">
        <v>10</v>
      </c>
      <c r="S41">
        <f>GDP!K54</f>
        <v>38680.63</v>
      </c>
      <c r="V41">
        <f t="shared" si="23"/>
        <v>-1.00002002033034</v>
      </c>
    </row>
    <row r="42" spans="1:22">
      <c r="A42" t="s">
        <v>82</v>
      </c>
      <c r="B42" s="3">
        <f>-CO2排放量!K55*100</f>
        <v>-74051.6009926666</v>
      </c>
      <c r="C42" s="3">
        <f>就业人口!K55</f>
        <v>1388</v>
      </c>
      <c r="D42" s="3">
        <f>资本存量!K55</f>
        <v>33951.8533862881</v>
      </c>
      <c r="E42" s="3">
        <f>能源消耗量!L55</f>
        <v>16140.03</v>
      </c>
      <c r="F42" s="3">
        <f t="shared" si="12"/>
        <v>88411.4809926666</v>
      </c>
      <c r="G42" s="3">
        <f t="shared" si="13"/>
        <v>1926544</v>
      </c>
      <c r="H42" s="3">
        <f t="shared" si="14"/>
        <v>1152728348.364</v>
      </c>
      <c r="I42" s="3">
        <f t="shared" si="15"/>
        <v>260500568.4009</v>
      </c>
      <c r="J42" s="3">
        <f t="shared" si="16"/>
        <v>47125172.5001679</v>
      </c>
      <c r="K42" s="3">
        <f t="shared" si="17"/>
        <v>22402361.64</v>
      </c>
      <c r="L42" s="3">
        <f t="shared" si="18"/>
        <v>547983932.210291</v>
      </c>
      <c r="M42" s="3">
        <f t="shared" si="19"/>
        <v>7816589971.31665</v>
      </c>
      <c r="N42" s="3">
        <f t="shared" si="20"/>
        <v>122715135.617821</v>
      </c>
      <c r="O42" s="3">
        <f t="shared" si="21"/>
        <v>3001733640.32761</v>
      </c>
      <c r="P42" s="3">
        <f t="shared" si="22"/>
        <v>1426963955.56607</v>
      </c>
      <c r="Q42">
        <v>5</v>
      </c>
      <c r="R42">
        <v>1</v>
      </c>
      <c r="S42">
        <f>GDP!K55</f>
        <v>14359.88</v>
      </c>
      <c r="V42">
        <f t="shared" si="23"/>
        <v>-0.99997442111539</v>
      </c>
    </row>
    <row r="43" spans="1:22">
      <c r="A43" t="s">
        <v>83</v>
      </c>
      <c r="B43" s="3">
        <f>-CO2排放量!K56*100</f>
        <v>-78869.1673836333</v>
      </c>
      <c r="C43" s="3">
        <f>就业人口!K56</f>
        <v>1379</v>
      </c>
      <c r="D43" s="3">
        <f>资本存量!K56</f>
        <v>42568.2154612044</v>
      </c>
      <c r="E43" s="3">
        <f>能源消耗量!L56</f>
        <v>16912.92</v>
      </c>
      <c r="F43" s="3">
        <f t="shared" si="12"/>
        <v>94749.7462276333</v>
      </c>
      <c r="G43" s="3">
        <f t="shared" si="13"/>
        <v>1901641</v>
      </c>
      <c r="H43" s="3">
        <f t="shared" si="14"/>
        <v>1812052967.55152</v>
      </c>
      <c r="I43" s="3">
        <f t="shared" si="15"/>
        <v>286046862.9264</v>
      </c>
      <c r="J43" s="3">
        <f t="shared" si="16"/>
        <v>58701569.1210009</v>
      </c>
      <c r="K43" s="3">
        <f t="shared" si="17"/>
        <v>23322916.68</v>
      </c>
      <c r="L43" s="3">
        <f t="shared" si="18"/>
        <v>719952822.638114</v>
      </c>
      <c r="M43" s="3">
        <f t="shared" si="19"/>
        <v>8977514410.20092</v>
      </c>
      <c r="N43" s="3">
        <f t="shared" si="20"/>
        <v>130659900.047906</v>
      </c>
      <c r="O43" s="3">
        <f t="shared" si="21"/>
        <v>4033327612.31234</v>
      </c>
      <c r="P43" s="3">
        <f t="shared" si="22"/>
        <v>1602494877.96826</v>
      </c>
      <c r="Q43">
        <v>5</v>
      </c>
      <c r="R43">
        <v>2</v>
      </c>
      <c r="S43">
        <f>GDP!K56</f>
        <v>15880.578844</v>
      </c>
      <c r="V43">
        <f t="shared" si="23"/>
        <v>-0.999974384800376</v>
      </c>
    </row>
    <row r="44" spans="1:22">
      <c r="A44" t="s">
        <v>84</v>
      </c>
      <c r="B44" s="3">
        <f>-CO2排放量!K57*100</f>
        <v>-78374.3085486667</v>
      </c>
      <c r="C44" s="3">
        <f>就业人口!K57</f>
        <v>1370</v>
      </c>
      <c r="D44" s="3">
        <f>资本存量!K57</f>
        <v>52699.0443769288</v>
      </c>
      <c r="E44" s="3">
        <f>能源消耗量!L57</f>
        <v>17544.17</v>
      </c>
      <c r="F44" s="3">
        <f t="shared" si="12"/>
        <v>95290.8114906666</v>
      </c>
      <c r="G44" s="3">
        <f t="shared" si="13"/>
        <v>1876900</v>
      </c>
      <c r="H44" s="3">
        <f t="shared" si="14"/>
        <v>2777189278.24151</v>
      </c>
      <c r="I44" s="3">
        <f t="shared" si="15"/>
        <v>307797900.9889</v>
      </c>
      <c r="J44" s="3">
        <f t="shared" si="16"/>
        <v>72197690.7963925</v>
      </c>
      <c r="K44" s="3">
        <f t="shared" si="17"/>
        <v>24035512.9</v>
      </c>
      <c r="L44" s="3">
        <f t="shared" si="18"/>
        <v>924560993.386383</v>
      </c>
      <c r="M44" s="3">
        <f t="shared" si="19"/>
        <v>9080338754.54977</v>
      </c>
      <c r="N44" s="3">
        <f t="shared" si="20"/>
        <v>130548411.742213</v>
      </c>
      <c r="O44" s="3">
        <f t="shared" si="21"/>
        <v>5021734703.4602</v>
      </c>
      <c r="P44" s="3">
        <f t="shared" si="22"/>
        <v>1671798196.23021</v>
      </c>
      <c r="Q44">
        <v>5</v>
      </c>
      <c r="R44">
        <v>3</v>
      </c>
      <c r="S44">
        <f>GDP!K57</f>
        <v>16916.502942</v>
      </c>
      <c r="V44">
        <f t="shared" si="23"/>
        <v>-0.999970959223859</v>
      </c>
    </row>
    <row r="45" spans="1:22">
      <c r="A45" t="s">
        <v>85</v>
      </c>
      <c r="B45" s="3">
        <f>-CO2排放量!K58*100</f>
        <v>-80600.009</v>
      </c>
      <c r="C45" s="3">
        <f>就业人口!K58</f>
        <v>1360</v>
      </c>
      <c r="D45" s="3">
        <f>资本存量!K58</f>
        <v>65231.7622167436</v>
      </c>
      <c r="E45" s="3">
        <f>能源消耗量!L58</f>
        <v>18167.46</v>
      </c>
      <c r="F45" s="3">
        <f t="shared" si="12"/>
        <v>98370.197819</v>
      </c>
      <c r="G45" s="3">
        <f t="shared" si="13"/>
        <v>1849600</v>
      </c>
      <c r="H45" s="3">
        <f t="shared" si="14"/>
        <v>4255182801.90178</v>
      </c>
      <c r="I45" s="3">
        <f t="shared" si="15"/>
        <v>330056602.8516</v>
      </c>
      <c r="J45" s="3">
        <f t="shared" si="16"/>
        <v>88715196.6147714</v>
      </c>
      <c r="K45" s="3">
        <f t="shared" si="17"/>
        <v>24707745.6</v>
      </c>
      <c r="L45" s="3">
        <f t="shared" si="18"/>
        <v>1185095430.8022</v>
      </c>
      <c r="M45" s="3">
        <f t="shared" si="19"/>
        <v>9676695818.9492</v>
      </c>
      <c r="N45" s="3">
        <f t="shared" si="20"/>
        <v>133783469.03384</v>
      </c>
      <c r="O45" s="3">
        <f t="shared" si="21"/>
        <v>6416861353.34304</v>
      </c>
      <c r="P45" s="3">
        <f t="shared" si="22"/>
        <v>1787136634.06877</v>
      </c>
      <c r="Q45">
        <v>5</v>
      </c>
      <c r="R45">
        <v>4</v>
      </c>
      <c r="S45">
        <f>GDP!K58</f>
        <v>17770.188819</v>
      </c>
      <c r="V45">
        <f t="shared" si="23"/>
        <v>-0.999967003720797</v>
      </c>
    </row>
    <row r="46" spans="1:22">
      <c r="A46" t="s">
        <v>86</v>
      </c>
      <c r="B46" s="3">
        <f>-CO2排放量!K59*100</f>
        <v>-75379.9941893334</v>
      </c>
      <c r="C46" s="3">
        <f>就业人口!K59</f>
        <v>1351</v>
      </c>
      <c r="D46" s="3">
        <f>资本存量!K59</f>
        <v>72671.7347439362</v>
      </c>
      <c r="E46" s="3">
        <f>能源消耗量!L59</f>
        <v>18783.71</v>
      </c>
      <c r="F46" s="3">
        <f t="shared" si="12"/>
        <v>93211.5029723334</v>
      </c>
      <c r="G46" s="3">
        <f t="shared" si="13"/>
        <v>1825201</v>
      </c>
      <c r="H46" s="3">
        <f t="shared" si="14"/>
        <v>5281181030.69303</v>
      </c>
      <c r="I46" s="3">
        <f t="shared" si="15"/>
        <v>352827761.3641</v>
      </c>
      <c r="J46" s="3">
        <f t="shared" si="16"/>
        <v>98179513.6390579</v>
      </c>
      <c r="K46" s="3">
        <f t="shared" si="17"/>
        <v>25376792.21</v>
      </c>
      <c r="L46" s="3">
        <f t="shared" si="18"/>
        <v>1365044790.62702</v>
      </c>
      <c r="M46" s="3">
        <f t="shared" si="19"/>
        <v>8688384286.36131</v>
      </c>
      <c r="N46" s="3">
        <f t="shared" si="20"/>
        <v>125928740.515622</v>
      </c>
      <c r="O46" s="3">
        <f t="shared" si="21"/>
        <v>6773841619.08904</v>
      </c>
      <c r="P46" s="3">
        <f t="shared" si="22"/>
        <v>1750857840.49645</v>
      </c>
      <c r="Q46">
        <v>5</v>
      </c>
      <c r="R46">
        <v>5</v>
      </c>
      <c r="S46">
        <f>GDP!K59</f>
        <v>17831.508783</v>
      </c>
      <c r="V46">
        <f t="shared" si="23"/>
        <v>-0.999957078375721</v>
      </c>
    </row>
    <row r="47" spans="1:22">
      <c r="A47" t="s">
        <v>87</v>
      </c>
      <c r="B47" s="3">
        <f>-CO2排放量!K60*100</f>
        <v>-75461.5166564893</v>
      </c>
      <c r="C47" s="3">
        <f>就业人口!K60</f>
        <v>1326</v>
      </c>
      <c r="D47" s="3">
        <f>资本存量!K60</f>
        <v>80775.2618085184</v>
      </c>
      <c r="E47" s="3">
        <f>能源消耗量!L60</f>
        <v>19309.66</v>
      </c>
      <c r="F47" s="3">
        <f t="shared" si="12"/>
        <v>93589.6166564893</v>
      </c>
      <c r="G47" s="3">
        <f t="shared" si="13"/>
        <v>1758276</v>
      </c>
      <c r="H47" s="3">
        <f t="shared" si="14"/>
        <v>6524642920.23469</v>
      </c>
      <c r="I47" s="3">
        <f t="shared" si="15"/>
        <v>372862969.3156</v>
      </c>
      <c r="J47" s="3">
        <f t="shared" si="16"/>
        <v>107107997.158095</v>
      </c>
      <c r="K47" s="3">
        <f t="shared" si="17"/>
        <v>25604609.16</v>
      </c>
      <c r="L47" s="3">
        <f t="shared" si="18"/>
        <v>1559742841.93348</v>
      </c>
      <c r="M47" s="3">
        <f t="shared" si="19"/>
        <v>8759016345.90862</v>
      </c>
      <c r="N47" s="3">
        <f t="shared" si="20"/>
        <v>124099831.686505</v>
      </c>
      <c r="O47" s="3">
        <f t="shared" si="21"/>
        <v>7559725787.9868</v>
      </c>
      <c r="P47" s="3">
        <f t="shared" si="22"/>
        <v>1807183677.16715</v>
      </c>
      <c r="Q47">
        <v>5</v>
      </c>
      <c r="R47">
        <v>6</v>
      </c>
      <c r="S47">
        <f>GDP!K60</f>
        <v>18128.1</v>
      </c>
      <c r="V47">
        <f t="shared" si="23"/>
        <v>-0.999949017622761</v>
      </c>
    </row>
    <row r="48" spans="1:22">
      <c r="A48" t="s">
        <v>88</v>
      </c>
      <c r="B48" s="3">
        <f>-CO2排放量!K61*100</f>
        <v>-76507.2943113333</v>
      </c>
      <c r="C48" s="3">
        <f>就业人口!K61</f>
        <v>1317</v>
      </c>
      <c r="D48" s="3">
        <f>资本存量!K61</f>
        <v>87033.9974749006</v>
      </c>
      <c r="E48" s="3">
        <f>能源消耗量!L61</f>
        <v>19763.44</v>
      </c>
      <c r="F48" s="3">
        <f t="shared" si="12"/>
        <v>92603.5043113333</v>
      </c>
      <c r="G48" s="3">
        <f t="shared" si="13"/>
        <v>1734489</v>
      </c>
      <c r="H48" s="3">
        <f t="shared" si="14"/>
        <v>7574916716.46101</v>
      </c>
      <c r="I48" s="3">
        <f t="shared" si="15"/>
        <v>390593560.6336</v>
      </c>
      <c r="J48" s="3">
        <f t="shared" si="16"/>
        <v>114623774.674444</v>
      </c>
      <c r="K48" s="3">
        <f t="shared" si="17"/>
        <v>26028450.48</v>
      </c>
      <c r="L48" s="3">
        <f t="shared" si="18"/>
        <v>1720091187.05535</v>
      </c>
      <c r="M48" s="3">
        <f t="shared" si="19"/>
        <v>8575409010.73913</v>
      </c>
      <c r="N48" s="3">
        <f t="shared" si="20"/>
        <v>121958815.178026</v>
      </c>
      <c r="O48" s="3">
        <f t="shared" si="21"/>
        <v>8059653160.39953</v>
      </c>
      <c r="P48" s="3">
        <f t="shared" si="22"/>
        <v>1830163801.24678</v>
      </c>
      <c r="Q48">
        <v>5</v>
      </c>
      <c r="R48">
        <v>7</v>
      </c>
      <c r="S48">
        <f>GDP!K61</f>
        <v>16096.21</v>
      </c>
      <c r="V48">
        <f t="shared" si="23"/>
        <v>-0.999937165024175</v>
      </c>
    </row>
    <row r="49" spans="1:22">
      <c r="A49" t="s">
        <v>89</v>
      </c>
      <c r="B49" s="3">
        <f>-CO2排放量!K62*100</f>
        <v>-85757.3214913333</v>
      </c>
      <c r="C49" s="3">
        <f>就业人口!K62</f>
        <v>1304</v>
      </c>
      <c r="D49" s="3">
        <f>资本存量!K62</f>
        <v>88866.3016189102</v>
      </c>
      <c r="E49" s="3">
        <f>能源消耗量!L62</f>
        <v>23068.47</v>
      </c>
      <c r="F49" s="3">
        <f t="shared" si="12"/>
        <v>101898.121491333</v>
      </c>
      <c r="G49" s="3">
        <f t="shared" si="13"/>
        <v>1700416</v>
      </c>
      <c r="H49" s="3">
        <f t="shared" si="14"/>
        <v>7897219563.42311</v>
      </c>
      <c r="I49" s="3">
        <f t="shared" si="15"/>
        <v>532154308.1409</v>
      </c>
      <c r="J49" s="3">
        <f t="shared" si="16"/>
        <v>115881657.311059</v>
      </c>
      <c r="K49" s="3">
        <f t="shared" si="17"/>
        <v>30081284.88</v>
      </c>
      <c r="L49" s="3">
        <f t="shared" si="18"/>
        <v>2050009612.90678</v>
      </c>
      <c r="M49" s="3">
        <f t="shared" si="19"/>
        <v>10383227163.4625</v>
      </c>
      <c r="N49" s="3">
        <f t="shared" si="20"/>
        <v>132875150.424699</v>
      </c>
      <c r="O49" s="3">
        <f t="shared" si="21"/>
        <v>9055309198.84918</v>
      </c>
      <c r="P49" s="3">
        <f t="shared" si="22"/>
        <v>2350633758.67918</v>
      </c>
      <c r="Q49">
        <v>5</v>
      </c>
      <c r="R49">
        <v>8</v>
      </c>
      <c r="S49">
        <f>GDP!K62</f>
        <v>16140.8</v>
      </c>
      <c r="V49">
        <f t="shared" si="23"/>
        <v>-0.999952968415245</v>
      </c>
    </row>
    <row r="50" spans="1:22">
      <c r="A50" t="s">
        <v>90</v>
      </c>
      <c r="B50" s="3">
        <f>-CO2排放量!K63*100</f>
        <v>-97278.727886</v>
      </c>
      <c r="C50" s="3">
        <f>就业人口!K63</f>
        <v>1272</v>
      </c>
      <c r="D50" s="3">
        <f>资本存量!K63</f>
        <v>91113.5835033876</v>
      </c>
      <c r="E50" s="3">
        <f>能源消耗量!L63</f>
        <v>25345.57</v>
      </c>
      <c r="F50" s="3">
        <f t="shared" si="12"/>
        <v>114491.257886</v>
      </c>
      <c r="G50" s="3">
        <f t="shared" si="13"/>
        <v>1617984</v>
      </c>
      <c r="H50" s="3">
        <f t="shared" si="14"/>
        <v>8301685098.82878</v>
      </c>
      <c r="I50" s="3">
        <f t="shared" si="15"/>
        <v>642397918.6249</v>
      </c>
      <c r="J50" s="3">
        <f t="shared" si="16"/>
        <v>115896478.216309</v>
      </c>
      <c r="K50" s="3">
        <f t="shared" si="17"/>
        <v>32239565.04</v>
      </c>
      <c r="L50" s="3">
        <f t="shared" si="18"/>
        <v>2309325708.63596</v>
      </c>
      <c r="M50" s="3">
        <f t="shared" si="19"/>
        <v>13108248132.3185</v>
      </c>
      <c r="N50" s="3">
        <f t="shared" si="20"/>
        <v>145632880.030992</v>
      </c>
      <c r="O50" s="3">
        <f t="shared" si="21"/>
        <v>10431708785.8039</v>
      </c>
      <c r="P50" s="3">
        <f t="shared" si="22"/>
        <v>2901846191.13766</v>
      </c>
      <c r="Q50">
        <v>5</v>
      </c>
      <c r="R50">
        <v>9</v>
      </c>
      <c r="S50">
        <f>GDP!K63</f>
        <v>17212.53</v>
      </c>
      <c r="V50">
        <f t="shared" si="23"/>
        <v>-0.999964982715446</v>
      </c>
    </row>
    <row r="51" spans="1:22">
      <c r="A51" t="s">
        <v>91</v>
      </c>
      <c r="B51" s="3">
        <f>-CO2排放量!K64*100</f>
        <v>-104666.219544667</v>
      </c>
      <c r="C51" s="3">
        <f>就业人口!K64</f>
        <v>1242</v>
      </c>
      <c r="D51" s="3">
        <f>资本存量!K64</f>
        <v>92961.892730677</v>
      </c>
      <c r="E51" s="3">
        <f>能源消耗量!L64</f>
        <v>27133.65</v>
      </c>
      <c r="F51" s="3">
        <f t="shared" si="12"/>
        <v>122026.039544667</v>
      </c>
      <c r="G51" s="3">
        <f t="shared" si="13"/>
        <v>1542564</v>
      </c>
      <c r="H51" s="3">
        <f t="shared" si="14"/>
        <v>8641913500.0699</v>
      </c>
      <c r="I51" s="3">
        <f t="shared" si="15"/>
        <v>736234962.3225</v>
      </c>
      <c r="J51" s="3">
        <f t="shared" si="16"/>
        <v>115458670.771501</v>
      </c>
      <c r="K51" s="3">
        <f t="shared" si="17"/>
        <v>33699993.3</v>
      </c>
      <c r="L51" s="3">
        <f t="shared" si="18"/>
        <v>2522395460.69173</v>
      </c>
      <c r="M51" s="3">
        <f t="shared" si="19"/>
        <v>14890354326.9566</v>
      </c>
      <c r="N51" s="3">
        <f t="shared" si="20"/>
        <v>151556341.114476</v>
      </c>
      <c r="O51" s="3">
        <f t="shared" si="21"/>
        <v>11343771598.5007</v>
      </c>
      <c r="P51" s="3">
        <f t="shared" si="22"/>
        <v>3311011847.89115</v>
      </c>
      <c r="Q51">
        <v>5</v>
      </c>
      <c r="R51">
        <v>10</v>
      </c>
      <c r="S51">
        <f>GDP!K64</f>
        <v>17359.82</v>
      </c>
      <c r="V51">
        <f t="shared" si="23"/>
        <v>-0.999969430906157</v>
      </c>
    </row>
    <row r="52" spans="1:22">
      <c r="A52" t="s">
        <v>92</v>
      </c>
      <c r="B52" s="3">
        <f>-CO2排放量!K65*100</f>
        <v>-16969.41547</v>
      </c>
      <c r="C52" s="3">
        <f>就业人口!K65</f>
        <v>1379</v>
      </c>
      <c r="D52" s="3">
        <f>资本存量!K65</f>
        <v>12063.6172496492</v>
      </c>
      <c r="E52" s="3">
        <f>能源消耗量!L65</f>
        <v>6393.69</v>
      </c>
      <c r="F52" s="3">
        <f t="shared" si="12"/>
        <v>21989.78547</v>
      </c>
      <c r="G52" s="3">
        <f t="shared" si="13"/>
        <v>1901641</v>
      </c>
      <c r="H52" s="3">
        <f t="shared" si="14"/>
        <v>145530861.146034</v>
      </c>
      <c r="I52" s="3">
        <f t="shared" si="15"/>
        <v>40879271.8161</v>
      </c>
      <c r="J52" s="3">
        <f t="shared" si="16"/>
        <v>16635728.1872663</v>
      </c>
      <c r="K52" s="3">
        <f t="shared" si="17"/>
        <v>8816898.51</v>
      </c>
      <c r="L52" s="3">
        <f t="shared" si="18"/>
        <v>77131028.9729097</v>
      </c>
      <c r="M52" s="3">
        <f t="shared" si="19"/>
        <v>483550665.016623</v>
      </c>
      <c r="N52" s="3">
        <f t="shared" si="20"/>
        <v>30323914.16313</v>
      </c>
      <c r="O52" s="3">
        <f t="shared" si="21"/>
        <v>265276355.311978</v>
      </c>
      <c r="P52" s="3">
        <f t="shared" si="22"/>
        <v>140595871.461684</v>
      </c>
      <c r="Q52">
        <v>6</v>
      </c>
      <c r="R52">
        <v>1</v>
      </c>
      <c r="S52">
        <f>GDP!K65</f>
        <v>5020.37</v>
      </c>
      <c r="V52">
        <f t="shared" si="23"/>
        <v>-0.999833836624235</v>
      </c>
    </row>
    <row r="53" spans="1:22">
      <c r="A53" t="s">
        <v>93</v>
      </c>
      <c r="B53" s="3">
        <f>-CO2排放量!K66*100</f>
        <v>-17375.3779086667</v>
      </c>
      <c r="C53" s="3">
        <f>就业人口!K66</f>
        <v>1358</v>
      </c>
      <c r="D53" s="3">
        <f>资本存量!K66</f>
        <v>15085.7499936829</v>
      </c>
      <c r="E53" s="3">
        <f>能源消耗量!L66</f>
        <v>6893.76</v>
      </c>
      <c r="F53" s="3">
        <f t="shared" si="12"/>
        <v>23025.5818676667</v>
      </c>
      <c r="G53" s="3">
        <f t="shared" si="13"/>
        <v>1844164</v>
      </c>
      <c r="H53" s="3">
        <f t="shared" si="14"/>
        <v>227579852.871903</v>
      </c>
      <c r="I53" s="3">
        <f t="shared" si="15"/>
        <v>47523926.9376</v>
      </c>
      <c r="J53" s="3">
        <f t="shared" si="16"/>
        <v>20486448.4914214</v>
      </c>
      <c r="K53" s="3">
        <f t="shared" si="17"/>
        <v>9361726.08</v>
      </c>
      <c r="L53" s="3">
        <f t="shared" si="18"/>
        <v>103997539.876451</v>
      </c>
      <c r="M53" s="3">
        <f t="shared" si="19"/>
        <v>530177420.34462</v>
      </c>
      <c r="N53" s="3">
        <f t="shared" si="20"/>
        <v>31268740.1762913</v>
      </c>
      <c r="O53" s="3">
        <f t="shared" si="21"/>
        <v>347358171.514697</v>
      </c>
      <c r="P53" s="3">
        <f t="shared" si="22"/>
        <v>158732835.256046</v>
      </c>
      <c r="Q53">
        <v>6</v>
      </c>
      <c r="R53">
        <v>2</v>
      </c>
      <c r="S53">
        <f>GDP!K66</f>
        <v>5650.203959</v>
      </c>
      <c r="V53">
        <f t="shared" si="23"/>
        <v>-0.999810103714092</v>
      </c>
    </row>
    <row r="54" spans="1:22">
      <c r="A54" t="s">
        <v>94</v>
      </c>
      <c r="B54" s="3">
        <f>-CO2排放量!K67*100</f>
        <v>-18146.6489813333</v>
      </c>
      <c r="C54" s="3">
        <f>就业人口!K67</f>
        <v>1352</v>
      </c>
      <c r="D54" s="3">
        <f>资本存量!K67</f>
        <v>18678.0479942893</v>
      </c>
      <c r="E54" s="3">
        <f>能源消耗量!L67</f>
        <v>7286.72</v>
      </c>
      <c r="F54" s="3">
        <f t="shared" si="12"/>
        <v>24477.3412963333</v>
      </c>
      <c r="G54" s="3">
        <f t="shared" si="13"/>
        <v>1827904</v>
      </c>
      <c r="H54" s="3">
        <f t="shared" si="14"/>
        <v>348869476.876976</v>
      </c>
      <c r="I54" s="3">
        <f t="shared" si="15"/>
        <v>53096288.3584</v>
      </c>
      <c r="J54" s="3">
        <f t="shared" si="16"/>
        <v>25252720.8882792</v>
      </c>
      <c r="K54" s="3">
        <f t="shared" si="17"/>
        <v>9851645.44</v>
      </c>
      <c r="L54" s="3">
        <f t="shared" si="18"/>
        <v>136101705.880948</v>
      </c>
      <c r="M54" s="3">
        <f t="shared" si="19"/>
        <v>599140236.937185</v>
      </c>
      <c r="N54" s="3">
        <f t="shared" si="20"/>
        <v>33093365.4326427</v>
      </c>
      <c r="O54" s="3">
        <f t="shared" si="21"/>
        <v>457188955.505514</v>
      </c>
      <c r="P54" s="3">
        <f t="shared" si="22"/>
        <v>178359532.370818</v>
      </c>
      <c r="Q54">
        <v>6</v>
      </c>
      <c r="R54">
        <v>3</v>
      </c>
      <c r="S54">
        <f>GDP!K67</f>
        <v>6330.692315</v>
      </c>
      <c r="V54">
        <f t="shared" si="23"/>
        <v>-0.99977632411746</v>
      </c>
    </row>
    <row r="55" spans="1:22">
      <c r="A55" t="s">
        <v>95</v>
      </c>
      <c r="B55" s="3">
        <f>-CO2排放量!K68*100</f>
        <v>-18046.8552293333</v>
      </c>
      <c r="C55" s="3">
        <f>就业人口!K68</f>
        <v>1348</v>
      </c>
      <c r="D55" s="3">
        <f>资本存量!K68</f>
        <v>23292.1553868376</v>
      </c>
      <c r="E55" s="3">
        <f>能源消耗量!L68</f>
        <v>7521.45</v>
      </c>
      <c r="F55" s="3">
        <f t="shared" si="12"/>
        <v>24883.6760173333</v>
      </c>
      <c r="G55" s="3">
        <f t="shared" si="13"/>
        <v>1817104</v>
      </c>
      <c r="H55" s="3">
        <f t="shared" si="14"/>
        <v>542524502.564586</v>
      </c>
      <c r="I55" s="3">
        <f t="shared" si="15"/>
        <v>56572210.1025</v>
      </c>
      <c r="J55" s="3">
        <f t="shared" si="16"/>
        <v>31397825.461457</v>
      </c>
      <c r="K55" s="3">
        <f t="shared" si="17"/>
        <v>10138914.6</v>
      </c>
      <c r="L55" s="3">
        <f t="shared" si="18"/>
        <v>175190782.134329</v>
      </c>
      <c r="M55" s="3">
        <f t="shared" si="19"/>
        <v>619197332.13561</v>
      </c>
      <c r="N55" s="3">
        <f t="shared" si="20"/>
        <v>33543195.2713653</v>
      </c>
      <c r="O55" s="3">
        <f t="shared" si="21"/>
        <v>579594448.391451</v>
      </c>
      <c r="P55" s="3">
        <f t="shared" si="22"/>
        <v>187161324.980572</v>
      </c>
      <c r="Q55">
        <v>6</v>
      </c>
      <c r="R55">
        <v>4</v>
      </c>
      <c r="S55">
        <f>GDP!K68</f>
        <v>6836.820788</v>
      </c>
      <c r="V55">
        <f t="shared" si="23"/>
        <v>-0.999596063217886</v>
      </c>
    </row>
    <row r="56" spans="1:22">
      <c r="A56" t="s">
        <v>96</v>
      </c>
      <c r="B56" s="3">
        <f>-CO2排放量!K69*100</f>
        <v>-17657.5300766667</v>
      </c>
      <c r="C56" s="3">
        <f>就业人口!K69</f>
        <v>1346</v>
      </c>
      <c r="D56" s="3">
        <f>资本存量!K69</f>
        <v>28815.7284697012</v>
      </c>
      <c r="E56" s="3">
        <f>能源消耗量!L69</f>
        <v>7488.5</v>
      </c>
      <c r="F56" s="3">
        <f t="shared" si="12"/>
        <v>24447.8469746667</v>
      </c>
      <c r="G56" s="3">
        <f t="shared" si="13"/>
        <v>1811716</v>
      </c>
      <c r="H56" s="3">
        <f t="shared" si="14"/>
        <v>830346207.239546</v>
      </c>
      <c r="I56" s="3">
        <f t="shared" si="15"/>
        <v>56077632.25</v>
      </c>
      <c r="J56" s="3">
        <f t="shared" si="16"/>
        <v>38785970.5202178</v>
      </c>
      <c r="K56" s="3">
        <f t="shared" si="17"/>
        <v>10079521</v>
      </c>
      <c r="L56" s="3">
        <f t="shared" si="18"/>
        <v>215786582.645357</v>
      </c>
      <c r="M56" s="3">
        <f t="shared" si="19"/>
        <v>597697221.696718</v>
      </c>
      <c r="N56" s="3">
        <f t="shared" si="20"/>
        <v>32906802.0279013</v>
      </c>
      <c r="O56" s="3">
        <f t="shared" si="21"/>
        <v>704482520.090799</v>
      </c>
      <c r="P56" s="3">
        <f t="shared" si="22"/>
        <v>183077702.069791</v>
      </c>
      <c r="Q56">
        <v>6</v>
      </c>
      <c r="R56">
        <v>5</v>
      </c>
      <c r="S56">
        <f>GDP!K69</f>
        <v>6790.316898</v>
      </c>
      <c r="V56">
        <f t="shared" si="23"/>
        <v>-1.00186752488816</v>
      </c>
    </row>
    <row r="57" spans="1:22">
      <c r="A57" t="s">
        <v>97</v>
      </c>
      <c r="B57" s="3">
        <f>-CO2排放量!K70*100</f>
        <v>-16971.65295</v>
      </c>
      <c r="C57" s="3">
        <f>就业人口!K70</f>
        <v>1341</v>
      </c>
      <c r="D57" s="3">
        <f>资本存量!K70</f>
        <v>34676.0185366098</v>
      </c>
      <c r="E57" s="3">
        <f>能源消耗量!L70</f>
        <v>7299.93</v>
      </c>
      <c r="F57" s="3">
        <f t="shared" si="12"/>
        <v>24172.02295</v>
      </c>
      <c r="G57" s="3">
        <f t="shared" si="13"/>
        <v>1798281</v>
      </c>
      <c r="H57" s="3">
        <f t="shared" si="14"/>
        <v>1202426261.55131</v>
      </c>
      <c r="I57" s="3">
        <f t="shared" si="15"/>
        <v>53288978.0049</v>
      </c>
      <c r="J57" s="3">
        <f t="shared" si="16"/>
        <v>46500540.8575938</v>
      </c>
      <c r="K57" s="3">
        <f t="shared" si="17"/>
        <v>9789206.13</v>
      </c>
      <c r="L57" s="3">
        <f t="shared" si="18"/>
        <v>253132507.995954</v>
      </c>
      <c r="M57" s="3">
        <f t="shared" si="19"/>
        <v>584286693.495327</v>
      </c>
      <c r="N57" s="3">
        <f t="shared" si="20"/>
        <v>32414682.77595</v>
      </c>
      <c r="O57" s="3">
        <f t="shared" si="21"/>
        <v>838189515.881559</v>
      </c>
      <c r="P57" s="3">
        <f t="shared" si="22"/>
        <v>176454075.493394</v>
      </c>
      <c r="Q57">
        <v>6</v>
      </c>
      <c r="R57">
        <v>6</v>
      </c>
      <c r="S57">
        <f>GDP!K70</f>
        <v>7200.37</v>
      </c>
      <c r="V57">
        <f t="shared" si="23"/>
        <v>-1.00027708718594</v>
      </c>
    </row>
    <row r="58" spans="1:22">
      <c r="A58" t="s">
        <v>98</v>
      </c>
      <c r="B58" s="3">
        <f>-CO2排放量!K71*100</f>
        <v>-17398.6765128496</v>
      </c>
      <c r="C58" s="3">
        <f>就业人口!K71</f>
        <v>1337</v>
      </c>
      <c r="D58" s="3">
        <f>资本存量!K71</f>
        <v>40881.2207570953</v>
      </c>
      <c r="E58" s="3">
        <f>能源消耗量!L71</f>
        <v>7503.63</v>
      </c>
      <c r="F58" s="3">
        <f t="shared" si="12"/>
        <v>24858.5760418496</v>
      </c>
      <c r="G58" s="3">
        <f t="shared" si="13"/>
        <v>1787569</v>
      </c>
      <c r="H58" s="3">
        <f t="shared" si="14"/>
        <v>1671274210.59036</v>
      </c>
      <c r="I58" s="3">
        <f t="shared" si="15"/>
        <v>56304463.1769</v>
      </c>
      <c r="J58" s="3">
        <f t="shared" si="16"/>
        <v>54658192.1522364</v>
      </c>
      <c r="K58" s="3">
        <f t="shared" si="17"/>
        <v>10032353.31</v>
      </c>
      <c r="L58" s="3">
        <f t="shared" si="18"/>
        <v>306757554.509563</v>
      </c>
      <c r="M58" s="3">
        <f t="shared" si="19"/>
        <v>617948802.828421</v>
      </c>
      <c r="N58" s="3">
        <f t="shared" si="20"/>
        <v>33235916.167953</v>
      </c>
      <c r="O58" s="3">
        <f t="shared" si="21"/>
        <v>1016248934.8739</v>
      </c>
      <c r="P58" s="3">
        <f t="shared" si="22"/>
        <v>186529556.944904</v>
      </c>
      <c r="Q58">
        <v>6</v>
      </c>
      <c r="R58">
        <v>7</v>
      </c>
      <c r="S58">
        <f>GDP!K71</f>
        <v>7459.899529</v>
      </c>
      <c r="V58">
        <f t="shared" si="23"/>
        <v>-1.0001610862684</v>
      </c>
    </row>
    <row r="59" spans="1:22">
      <c r="A59" t="s">
        <v>99</v>
      </c>
      <c r="B59" s="3">
        <f>-CO2排放量!K72*100</f>
        <v>-18249.6485733333</v>
      </c>
      <c r="C59" s="3">
        <f>就业人口!K72</f>
        <v>1337</v>
      </c>
      <c r="D59" s="3">
        <f>资本存量!K72</f>
        <v>46118.8936644142</v>
      </c>
      <c r="E59" s="3">
        <f>能源消耗量!L72</f>
        <v>7822.54</v>
      </c>
      <c r="F59" s="3">
        <f t="shared" si="12"/>
        <v>26353.7185733333</v>
      </c>
      <c r="G59" s="3">
        <f t="shared" si="13"/>
        <v>1787569</v>
      </c>
      <c r="H59" s="3">
        <f t="shared" si="14"/>
        <v>2126952352.82954</v>
      </c>
      <c r="I59" s="3">
        <f t="shared" si="15"/>
        <v>61192132.0516</v>
      </c>
      <c r="J59" s="3">
        <f t="shared" si="16"/>
        <v>61660960.8293217</v>
      </c>
      <c r="K59" s="3">
        <f t="shared" si="17"/>
        <v>10458735.98</v>
      </c>
      <c r="L59" s="3">
        <f t="shared" si="18"/>
        <v>360766890.445626</v>
      </c>
      <c r="M59" s="3">
        <f t="shared" si="19"/>
        <v>694518482.642454</v>
      </c>
      <c r="N59" s="3">
        <f t="shared" si="20"/>
        <v>35234921.7325467</v>
      </c>
      <c r="O59" s="3">
        <f t="shared" si="21"/>
        <v>1215404344.54546</v>
      </c>
      <c r="P59" s="3">
        <f t="shared" si="22"/>
        <v>206153017.688643</v>
      </c>
      <c r="Q59">
        <v>6</v>
      </c>
      <c r="R59">
        <v>8</v>
      </c>
      <c r="S59">
        <f>GDP!K72</f>
        <v>8104.07</v>
      </c>
      <c r="V59">
        <f t="shared" si="23"/>
        <v>-1.00012816723513</v>
      </c>
    </row>
    <row r="60" spans="1:22">
      <c r="A60" t="s">
        <v>100</v>
      </c>
      <c r="B60" s="3">
        <f>-CO2排放量!K73*100</f>
        <v>-18544.1376746667</v>
      </c>
      <c r="C60" s="3">
        <f>就业人口!K73</f>
        <v>1333</v>
      </c>
      <c r="D60" s="3">
        <f>资本存量!K73</f>
        <v>51454.7948911904</v>
      </c>
      <c r="E60" s="3">
        <f>能源消耗量!L73</f>
        <v>7818.02</v>
      </c>
      <c r="F60" s="3">
        <f t="shared" si="12"/>
        <v>27262.4376746667</v>
      </c>
      <c r="G60" s="3">
        <f t="shared" si="13"/>
        <v>1776889</v>
      </c>
      <c r="H60" s="3">
        <f t="shared" si="14"/>
        <v>2647595917.29447</v>
      </c>
      <c r="I60" s="3">
        <f t="shared" si="15"/>
        <v>61121436.7204</v>
      </c>
      <c r="J60" s="3">
        <f t="shared" si="16"/>
        <v>68589241.5899568</v>
      </c>
      <c r="K60" s="3">
        <f t="shared" si="17"/>
        <v>10421420.66</v>
      </c>
      <c r="L60" s="3">
        <f t="shared" si="18"/>
        <v>402274615.555224</v>
      </c>
      <c r="M60" s="3">
        <f t="shared" si="19"/>
        <v>743240507.965084</v>
      </c>
      <c r="N60" s="3">
        <f t="shared" si="20"/>
        <v>36340829.4203307</v>
      </c>
      <c r="O60" s="3">
        <f t="shared" si="21"/>
        <v>1402783138.78383</v>
      </c>
      <c r="P60" s="3">
        <f t="shared" si="22"/>
        <v>213138282.989297</v>
      </c>
      <c r="Q60">
        <v>6</v>
      </c>
      <c r="R60">
        <v>9</v>
      </c>
      <c r="S60">
        <f>GDP!K73</f>
        <v>8718.3</v>
      </c>
      <c r="V60">
        <f t="shared" si="23"/>
        <v>-1.00010167441755</v>
      </c>
    </row>
    <row r="61" spans="1:22">
      <c r="A61" t="s">
        <v>101</v>
      </c>
      <c r="B61" s="3">
        <f>-CO2排放量!K74*100</f>
        <v>-19598.6526233333</v>
      </c>
      <c r="C61" s="3">
        <f>就业人口!K74</f>
        <v>1331</v>
      </c>
      <c r="D61" s="3">
        <f>资本存量!K74</f>
        <v>57044.8698291531</v>
      </c>
      <c r="E61" s="3">
        <f>能源消耗量!L74</f>
        <v>8104.71</v>
      </c>
      <c r="F61" s="3">
        <f t="shared" si="12"/>
        <v>28615.3526233333</v>
      </c>
      <c r="G61" s="3">
        <f t="shared" si="13"/>
        <v>1771561</v>
      </c>
      <c r="H61" s="3">
        <f t="shared" si="14"/>
        <v>3254117173.82502</v>
      </c>
      <c r="I61" s="3">
        <f t="shared" si="15"/>
        <v>65686324.1841</v>
      </c>
      <c r="J61" s="3">
        <f t="shared" si="16"/>
        <v>75926721.7426028</v>
      </c>
      <c r="K61" s="3">
        <f t="shared" si="17"/>
        <v>10787369.01</v>
      </c>
      <c r="L61" s="3">
        <f t="shared" si="18"/>
        <v>462332126.953035</v>
      </c>
      <c r="M61" s="3">
        <f t="shared" si="19"/>
        <v>818838405.75771</v>
      </c>
      <c r="N61" s="3">
        <f t="shared" si="20"/>
        <v>38087034.3416567</v>
      </c>
      <c r="O61" s="3">
        <f t="shared" si="21"/>
        <v>1632359065.51336</v>
      </c>
      <c r="P61" s="3">
        <f t="shared" si="22"/>
        <v>231919134.559856</v>
      </c>
      <c r="Q61">
        <v>6</v>
      </c>
      <c r="R61">
        <v>10</v>
      </c>
      <c r="S61">
        <f>GDP!K74</f>
        <v>9016.7</v>
      </c>
      <c r="V61">
        <f t="shared" si="23"/>
        <v>-1.00008551077896</v>
      </c>
    </row>
    <row r="62" spans="1:22">
      <c r="A62" t="s">
        <v>102</v>
      </c>
      <c r="B62" s="3">
        <f>-CO2排放量!K75*100</f>
        <v>-19094.8225753333</v>
      </c>
      <c r="C62" s="3">
        <f>就业人口!K75</f>
        <v>478.5</v>
      </c>
      <c r="D62" s="3">
        <f>资本存量!K75</f>
        <v>5189.69429498617</v>
      </c>
      <c r="E62" s="3">
        <f>能源消耗量!L75</f>
        <v>4719.9</v>
      </c>
      <c r="F62" s="3">
        <f t="shared" si="12"/>
        <v>21197.0325753333</v>
      </c>
      <c r="G62" s="3">
        <f t="shared" si="13"/>
        <v>228962.25</v>
      </c>
      <c r="H62" s="3">
        <f t="shared" si="14"/>
        <v>26932926.875412</v>
      </c>
      <c r="I62" s="3">
        <f t="shared" si="15"/>
        <v>22277456.01</v>
      </c>
      <c r="J62" s="3">
        <f t="shared" si="16"/>
        <v>2483268.72015088</v>
      </c>
      <c r="K62" s="3">
        <f t="shared" si="17"/>
        <v>2258472.15</v>
      </c>
      <c r="L62" s="3">
        <f t="shared" si="18"/>
        <v>24494838.1029052</v>
      </c>
      <c r="M62" s="3">
        <f t="shared" si="19"/>
        <v>449314189.999742</v>
      </c>
      <c r="N62" s="3">
        <f t="shared" si="20"/>
        <v>10142780.087297</v>
      </c>
      <c r="O62" s="3">
        <f t="shared" si="21"/>
        <v>110006119.026843</v>
      </c>
      <c r="P62" s="3">
        <f t="shared" si="22"/>
        <v>100047874.052316</v>
      </c>
      <c r="Q62">
        <v>7</v>
      </c>
      <c r="R62">
        <v>1</v>
      </c>
      <c r="S62">
        <f>GDP!K75</f>
        <v>2102.21</v>
      </c>
      <c r="V62">
        <f t="shared" si="23"/>
        <v>-0.999905463338241</v>
      </c>
    </row>
    <row r="63" spans="1:22">
      <c r="A63" t="s">
        <v>103</v>
      </c>
      <c r="B63" s="3">
        <f>-CO2排放量!K76*100</f>
        <v>-18856.9617441279</v>
      </c>
      <c r="C63" s="3">
        <f>就业人口!K76</f>
        <v>487.9</v>
      </c>
      <c r="D63" s="3">
        <f>资本存量!K76</f>
        <v>6801.00184266749</v>
      </c>
      <c r="E63" s="3">
        <f>能源消耗量!L76</f>
        <v>4895.2</v>
      </c>
      <c r="F63" s="3">
        <f t="shared" si="12"/>
        <v>21198.2517441279</v>
      </c>
      <c r="G63" s="3">
        <f t="shared" si="13"/>
        <v>238046.41</v>
      </c>
      <c r="H63" s="3">
        <f t="shared" si="14"/>
        <v>46253626.0639666</v>
      </c>
      <c r="I63" s="3">
        <f t="shared" si="15"/>
        <v>23962983.04</v>
      </c>
      <c r="J63" s="3">
        <f t="shared" si="16"/>
        <v>3318208.79903747</v>
      </c>
      <c r="K63" s="3">
        <f t="shared" si="17"/>
        <v>2388368.08</v>
      </c>
      <c r="L63" s="3">
        <f t="shared" si="18"/>
        <v>33292264.2202259</v>
      </c>
      <c r="M63" s="3">
        <f t="shared" si="19"/>
        <v>449365877.007422</v>
      </c>
      <c r="N63" s="3">
        <f t="shared" si="20"/>
        <v>10342627.02596</v>
      </c>
      <c r="O63" s="3">
        <f t="shared" si="21"/>
        <v>144169349.173143</v>
      </c>
      <c r="P63" s="3">
        <f t="shared" si="22"/>
        <v>103769681.937855</v>
      </c>
      <c r="Q63">
        <v>7</v>
      </c>
      <c r="R63">
        <v>2</v>
      </c>
      <c r="S63">
        <f>GDP!K76</f>
        <v>2341.29</v>
      </c>
      <c r="V63">
        <f t="shared" si="23"/>
        <v>-0.999897667296463</v>
      </c>
    </row>
    <row r="64" spans="1:22">
      <c r="A64" t="s">
        <v>104</v>
      </c>
      <c r="B64" s="3">
        <f>-CO2排放量!K77*100</f>
        <v>-18775.6074066667</v>
      </c>
      <c r="C64" s="3">
        <f>就业人口!K77</f>
        <v>494</v>
      </c>
      <c r="D64" s="3">
        <f>资本存量!K77</f>
        <v>8829.24856577141</v>
      </c>
      <c r="E64" s="3">
        <f>能源消耗量!L77</f>
        <v>5186.8</v>
      </c>
      <c r="F64" s="3">
        <f t="shared" si="12"/>
        <v>21353.1774066667</v>
      </c>
      <c r="G64" s="3">
        <f t="shared" si="13"/>
        <v>244036</v>
      </c>
      <c r="H64" s="3">
        <f t="shared" si="14"/>
        <v>77955630.2361766</v>
      </c>
      <c r="I64" s="3">
        <f t="shared" si="15"/>
        <v>26902894.24</v>
      </c>
      <c r="J64" s="3">
        <f t="shared" si="16"/>
        <v>4361648.79149108</v>
      </c>
      <c r="K64" s="3">
        <f t="shared" si="17"/>
        <v>2562279.2</v>
      </c>
      <c r="L64" s="3">
        <f t="shared" si="18"/>
        <v>45795546.4609432</v>
      </c>
      <c r="M64" s="3">
        <f t="shared" si="19"/>
        <v>455958185.36058</v>
      </c>
      <c r="N64" s="3">
        <f t="shared" si="20"/>
        <v>10548469.6388933</v>
      </c>
      <c r="O64" s="3">
        <f t="shared" si="21"/>
        <v>188532510.992474</v>
      </c>
      <c r="P64" s="3">
        <f t="shared" si="22"/>
        <v>110754660.572899</v>
      </c>
      <c r="Q64">
        <v>7</v>
      </c>
      <c r="R64">
        <v>3</v>
      </c>
      <c r="S64">
        <f>GDP!K77</f>
        <v>2577.57</v>
      </c>
      <c r="V64">
        <f t="shared" si="23"/>
        <v>-0.999887289840578</v>
      </c>
    </row>
    <row r="65" spans="1:22">
      <c r="A65" t="s">
        <v>105</v>
      </c>
      <c r="B65" s="3">
        <f>-CO2排放量!K78*100</f>
        <v>-19521.5828807213</v>
      </c>
      <c r="C65" s="3">
        <f>就业人口!K78</f>
        <v>499.15</v>
      </c>
      <c r="D65" s="3">
        <f>资本存量!K78</f>
        <v>11182.6256034574</v>
      </c>
      <c r="E65" s="3">
        <f>能源消耗量!L78</f>
        <v>5336.2</v>
      </c>
      <c r="F65" s="3">
        <f t="shared" si="12"/>
        <v>22273.6828807213</v>
      </c>
      <c r="G65" s="3">
        <f t="shared" si="13"/>
        <v>249150.7225</v>
      </c>
      <c r="H65" s="3">
        <f t="shared" si="14"/>
        <v>125051115.3871</v>
      </c>
      <c r="I65" s="3">
        <f t="shared" si="15"/>
        <v>28475030.44</v>
      </c>
      <c r="J65" s="3">
        <f t="shared" si="16"/>
        <v>5581807.56996574</v>
      </c>
      <c r="K65" s="3">
        <f t="shared" si="17"/>
        <v>2663564.23</v>
      </c>
      <c r="L65" s="3">
        <f t="shared" si="18"/>
        <v>59672726.7451692</v>
      </c>
      <c r="M65" s="3">
        <f t="shared" si="19"/>
        <v>496116949.070939</v>
      </c>
      <c r="N65" s="3">
        <f t="shared" si="20"/>
        <v>11117908.8099121</v>
      </c>
      <c r="O65" s="3">
        <f t="shared" si="21"/>
        <v>249078256.465244</v>
      </c>
      <c r="P65" s="3">
        <f t="shared" si="22"/>
        <v>118856826.588105</v>
      </c>
      <c r="Q65">
        <v>7</v>
      </c>
      <c r="R65">
        <v>4</v>
      </c>
      <c r="S65">
        <f>GDP!K78</f>
        <v>2752.1</v>
      </c>
      <c r="V65">
        <f t="shared" si="23"/>
        <v>-0.999879647912551</v>
      </c>
    </row>
    <row r="66" spans="1:22">
      <c r="A66" t="s">
        <v>106</v>
      </c>
      <c r="B66" s="3">
        <f>-CO2排放量!K79*100</f>
        <v>-19337.8490473333</v>
      </c>
      <c r="C66" s="3">
        <f>就业人口!K79</f>
        <v>503.1</v>
      </c>
      <c r="D66" s="3">
        <f>资本存量!K79</f>
        <v>13642.0203455255</v>
      </c>
      <c r="E66" s="3">
        <f>能源消耗量!L79</f>
        <v>5711.9</v>
      </c>
      <c r="F66" s="3">
        <f t="shared" ref="F66:F81" si="24">S66-B66</f>
        <v>22249.6190473333</v>
      </c>
      <c r="G66" s="3">
        <f t="shared" ref="G66:G81" si="25">C66*C66</f>
        <v>253109.61</v>
      </c>
      <c r="H66" s="3">
        <f t="shared" ref="H66:H81" si="26">D66*D66</f>
        <v>186104719.10773</v>
      </c>
      <c r="I66" s="3">
        <f t="shared" ref="I66:I81" si="27">E66*E66</f>
        <v>32625801.61</v>
      </c>
      <c r="J66" s="3">
        <f t="shared" ref="J66:J81" si="28">C66*D66</f>
        <v>6863300.43583386</v>
      </c>
      <c r="K66" s="3">
        <f t="shared" ref="K66:K81" si="29">C66*E66</f>
        <v>2873656.89</v>
      </c>
      <c r="L66" s="3">
        <f t="shared" ref="L66:L81" si="30">D66*E66</f>
        <v>77921856.0116068</v>
      </c>
      <c r="M66" s="3">
        <f t="shared" ref="M66:M81" si="31">F66*F66</f>
        <v>495045547.751458</v>
      </c>
      <c r="N66" s="3">
        <f t="shared" ref="N66:N81" si="32">C66*F66</f>
        <v>11193783.3427134</v>
      </c>
      <c r="O66" s="3">
        <f t="shared" ref="O66:O81" si="33">D66*F66</f>
        <v>303529755.723912</v>
      </c>
      <c r="P66" s="3">
        <f t="shared" ref="P66:P81" si="34">E66*F66</f>
        <v>127087599.036463</v>
      </c>
      <c r="Q66">
        <v>7</v>
      </c>
      <c r="R66">
        <v>5</v>
      </c>
      <c r="S66">
        <f>GDP!K79</f>
        <v>2911.77</v>
      </c>
      <c r="V66">
        <f t="shared" ref="V66:V81" si="35">-($U$2+$U$4*B66*(-1)+$U$8*C66+$U$10*D66+$U$12*E66+$U$6*S66)/($U$14+$U$16*S66+$U$18*C66+$U$20*D66+$U$22*E66+$U$6*B66*(-1))</f>
        <v>-0.999858894353479</v>
      </c>
    </row>
    <row r="67" spans="1:22">
      <c r="A67" t="s">
        <v>107</v>
      </c>
      <c r="B67" s="3">
        <f>-CO2排放量!K80*100</f>
        <v>-18971.7234268763</v>
      </c>
      <c r="C67" s="3">
        <f>就业人口!K80</f>
        <v>509.4</v>
      </c>
      <c r="D67" s="3">
        <f>资本存量!K80</f>
        <v>16167.849692355</v>
      </c>
      <c r="E67" s="3">
        <f>能源消耗量!L80</f>
        <v>5787.5</v>
      </c>
      <c r="F67" s="3">
        <f t="shared" si="24"/>
        <v>22140.3134268763</v>
      </c>
      <c r="G67" s="3">
        <f t="shared" si="25"/>
        <v>259488.36</v>
      </c>
      <c r="H67" s="3">
        <f t="shared" si="26"/>
        <v>261399363.674584</v>
      </c>
      <c r="I67" s="3">
        <f t="shared" si="27"/>
        <v>33495156.25</v>
      </c>
      <c r="J67" s="3">
        <f t="shared" si="28"/>
        <v>8235902.63328564</v>
      </c>
      <c r="K67" s="3">
        <f t="shared" si="29"/>
        <v>2948152.5</v>
      </c>
      <c r="L67" s="3">
        <f t="shared" si="30"/>
        <v>93571430.0945046</v>
      </c>
      <c r="M67" s="3">
        <f t="shared" si="31"/>
        <v>490193478.64032</v>
      </c>
      <c r="N67" s="3">
        <f t="shared" si="32"/>
        <v>11278275.6596508</v>
      </c>
      <c r="O67" s="3">
        <f t="shared" si="33"/>
        <v>357961259.627366</v>
      </c>
      <c r="P67" s="3">
        <f t="shared" si="34"/>
        <v>128137063.958047</v>
      </c>
      <c r="Q67">
        <v>7</v>
      </c>
      <c r="R67">
        <v>6</v>
      </c>
      <c r="S67">
        <f>GDP!K80</f>
        <v>3168.59</v>
      </c>
      <c r="V67">
        <f t="shared" si="35"/>
        <v>-0.999826350209164</v>
      </c>
    </row>
    <row r="68" spans="1:22">
      <c r="A68" t="s">
        <v>108</v>
      </c>
      <c r="B68" s="3">
        <f>-CO2排放量!K81*100</f>
        <v>-22623.797925305</v>
      </c>
      <c r="C68" s="3">
        <f>就业人口!K81</f>
        <v>514.4</v>
      </c>
      <c r="D68" s="3">
        <f>资本存量!K81</f>
        <v>18429.1149218889</v>
      </c>
      <c r="E68" s="3">
        <f>能源消耗量!L81</f>
        <v>6798.2</v>
      </c>
      <c r="F68" s="3">
        <f t="shared" si="24"/>
        <v>26067.357925305</v>
      </c>
      <c r="G68" s="3">
        <f t="shared" si="25"/>
        <v>264607.36</v>
      </c>
      <c r="H68" s="3">
        <f t="shared" si="26"/>
        <v>339632276.804189</v>
      </c>
      <c r="I68" s="3">
        <f t="shared" si="27"/>
        <v>46215523.24</v>
      </c>
      <c r="J68" s="3">
        <f t="shared" si="28"/>
        <v>9479936.71581966</v>
      </c>
      <c r="K68" s="3">
        <f t="shared" si="29"/>
        <v>3496994.08</v>
      </c>
      <c r="L68" s="3">
        <f t="shared" si="30"/>
        <v>125284809.061985</v>
      </c>
      <c r="M68" s="3">
        <f t="shared" si="31"/>
        <v>679507149.205961</v>
      </c>
      <c r="N68" s="3">
        <f t="shared" si="32"/>
        <v>13409048.9167769</v>
      </c>
      <c r="O68" s="3">
        <f t="shared" si="33"/>
        <v>480398334.915458</v>
      </c>
      <c r="P68" s="3">
        <f t="shared" si="34"/>
        <v>177211112.647808</v>
      </c>
      <c r="Q68">
        <v>7</v>
      </c>
      <c r="R68">
        <v>7</v>
      </c>
      <c r="S68">
        <f>GDP!K81</f>
        <v>3443.56</v>
      </c>
      <c r="V68">
        <f t="shared" si="35"/>
        <v>-0.999862003466118</v>
      </c>
    </row>
    <row r="69" spans="1:22">
      <c r="A69" t="s">
        <v>109</v>
      </c>
      <c r="B69" s="3">
        <f>-CO2排放量!K82*100</f>
        <v>-23593.4728093333</v>
      </c>
      <c r="C69" s="3">
        <f>就业人口!K82</f>
        <v>518.36</v>
      </c>
      <c r="D69" s="3">
        <f>资本存量!K82</f>
        <v>19779.2637893876</v>
      </c>
      <c r="E69" s="3">
        <f>能源消耗量!L82</f>
        <v>7530.2</v>
      </c>
      <c r="F69" s="3">
        <f t="shared" si="24"/>
        <v>27103.6828093333</v>
      </c>
      <c r="G69" s="3">
        <f t="shared" si="25"/>
        <v>268697.0896</v>
      </c>
      <c r="H69" s="3">
        <f t="shared" si="26"/>
        <v>391219276.050179</v>
      </c>
      <c r="I69" s="3">
        <f t="shared" si="27"/>
        <v>56703912.04</v>
      </c>
      <c r="J69" s="3">
        <f t="shared" si="28"/>
        <v>10252779.177867</v>
      </c>
      <c r="K69" s="3">
        <f t="shared" si="29"/>
        <v>3903354.472</v>
      </c>
      <c r="L69" s="3">
        <f t="shared" si="30"/>
        <v>148941812.186846</v>
      </c>
      <c r="M69" s="3">
        <f t="shared" si="31"/>
        <v>734609621.828951</v>
      </c>
      <c r="N69" s="3">
        <f t="shared" si="32"/>
        <v>14049465.021046</v>
      </c>
      <c r="O69" s="3">
        <f t="shared" si="33"/>
        <v>536090891.949694</v>
      </c>
      <c r="P69" s="3">
        <f t="shared" si="34"/>
        <v>204096152.290842</v>
      </c>
      <c r="Q69">
        <v>7</v>
      </c>
      <c r="R69">
        <v>8</v>
      </c>
      <c r="S69">
        <f>GDP!K82</f>
        <v>3510.21</v>
      </c>
      <c r="V69">
        <f t="shared" si="35"/>
        <v>-0.999862673525813</v>
      </c>
    </row>
    <row r="70" spans="1:22">
      <c r="A70" t="s">
        <v>110</v>
      </c>
      <c r="B70" s="3">
        <f>-CO2排放量!K83*100</f>
        <v>-25189.8741255556</v>
      </c>
      <c r="C70" s="3">
        <f>就业人口!K83</f>
        <v>523.3</v>
      </c>
      <c r="D70" s="3">
        <f>资本存量!K83</f>
        <v>20653.5511656064</v>
      </c>
      <c r="E70" s="3">
        <f>能源消耗量!L83</f>
        <v>8166.7</v>
      </c>
      <c r="F70" s="3">
        <f t="shared" si="24"/>
        <v>28938.3541255556</v>
      </c>
      <c r="G70" s="3">
        <f t="shared" si="25"/>
        <v>273842.89</v>
      </c>
      <c r="H70" s="3">
        <f t="shared" si="26"/>
        <v>426569175.750321</v>
      </c>
      <c r="I70" s="3">
        <f t="shared" si="27"/>
        <v>66694988.89</v>
      </c>
      <c r="J70" s="3">
        <f t="shared" si="28"/>
        <v>10808003.3249618</v>
      </c>
      <c r="K70" s="3">
        <f t="shared" si="29"/>
        <v>4273634.11</v>
      </c>
      <c r="L70" s="3">
        <f t="shared" si="30"/>
        <v>168671356.304158</v>
      </c>
      <c r="M70" s="3">
        <f t="shared" si="31"/>
        <v>837428339.496058</v>
      </c>
      <c r="N70" s="3">
        <f t="shared" si="32"/>
        <v>15143440.7139032</v>
      </c>
      <c r="O70" s="3">
        <f t="shared" si="33"/>
        <v>597679777.580598</v>
      </c>
      <c r="P70" s="3">
        <f t="shared" si="34"/>
        <v>236330856.637175</v>
      </c>
      <c r="Q70">
        <v>7</v>
      </c>
      <c r="R70">
        <v>9</v>
      </c>
      <c r="S70">
        <f>GDP!K83</f>
        <v>3748.48</v>
      </c>
      <c r="V70">
        <f t="shared" si="35"/>
        <v>-0.999876068561598</v>
      </c>
    </row>
    <row r="71" spans="1:22">
      <c r="A71" t="s">
        <v>111</v>
      </c>
      <c r="B71" s="3">
        <f>-CO2排放量!K84*100</f>
        <v>-25951.2911477778</v>
      </c>
      <c r="C71" s="3">
        <f>就业人口!K84</f>
        <v>559.1</v>
      </c>
      <c r="D71" s="3">
        <f>资本存量!K84</f>
        <v>21577.0155537082</v>
      </c>
      <c r="E71" s="3">
        <f>能源消耗量!L84</f>
        <v>8581.8</v>
      </c>
      <c r="F71" s="3">
        <f t="shared" si="24"/>
        <v>29871.8411477778</v>
      </c>
      <c r="G71" s="3">
        <f t="shared" si="25"/>
        <v>312592.81</v>
      </c>
      <c r="H71" s="3">
        <f t="shared" si="26"/>
        <v>465567600.204964</v>
      </c>
      <c r="I71" s="3">
        <f t="shared" si="27"/>
        <v>73647291.24</v>
      </c>
      <c r="J71" s="3">
        <f t="shared" si="28"/>
        <v>12063709.3960782</v>
      </c>
      <c r="K71" s="3">
        <f t="shared" si="29"/>
        <v>4798084.38</v>
      </c>
      <c r="L71" s="3">
        <f t="shared" si="30"/>
        <v>185169632.078813</v>
      </c>
      <c r="M71" s="3">
        <f t="shared" si="31"/>
        <v>892326893.55807</v>
      </c>
      <c r="N71" s="3">
        <f t="shared" si="32"/>
        <v>16701346.3857226</v>
      </c>
      <c r="O71" s="3">
        <f t="shared" si="33"/>
        <v>644545181.063501</v>
      </c>
      <c r="P71" s="3">
        <f t="shared" si="34"/>
        <v>256354166.361999</v>
      </c>
      <c r="Q71">
        <v>7</v>
      </c>
      <c r="R71">
        <v>10</v>
      </c>
      <c r="S71">
        <f>GDP!K84</f>
        <v>3920.55</v>
      </c>
      <c r="V71">
        <f t="shared" si="35"/>
        <v>-0.999877631881741</v>
      </c>
    </row>
    <row r="72" spans="1:22">
      <c r="A72" t="s">
        <v>112</v>
      </c>
      <c r="B72" s="3">
        <f>-CO2排放量!K85*100</f>
        <v>-28631.1098393333</v>
      </c>
      <c r="C72" s="3">
        <f>就业人口!K85</f>
        <v>1246.12</v>
      </c>
      <c r="D72" s="3">
        <f>资本存量!K85</f>
        <v>14155.5056261206</v>
      </c>
      <c r="E72" s="3">
        <f>能源消耗量!L85</f>
        <v>9474.5</v>
      </c>
      <c r="F72" s="3">
        <f t="shared" si="24"/>
        <v>35241.1598393333</v>
      </c>
      <c r="G72" s="3">
        <f t="shared" si="25"/>
        <v>1552815.0544</v>
      </c>
      <c r="H72" s="3">
        <f t="shared" si="26"/>
        <v>200378339.531131</v>
      </c>
      <c r="I72" s="3">
        <f t="shared" si="27"/>
        <v>89766150.25</v>
      </c>
      <c r="J72" s="3">
        <f t="shared" si="28"/>
        <v>17639458.6708214</v>
      </c>
      <c r="K72" s="3">
        <f t="shared" si="29"/>
        <v>11806363.94</v>
      </c>
      <c r="L72" s="3">
        <f t="shared" si="30"/>
        <v>134116338.054679</v>
      </c>
      <c r="M72" s="3">
        <f t="shared" si="31"/>
        <v>1241939346.82144</v>
      </c>
      <c r="N72" s="3">
        <f t="shared" si="32"/>
        <v>43914714.0989901</v>
      </c>
      <c r="O72" s="3">
        <f t="shared" si="33"/>
        <v>498856436.376698</v>
      </c>
      <c r="P72" s="3">
        <f t="shared" si="34"/>
        <v>333892368.897764</v>
      </c>
      <c r="Q72">
        <v>8</v>
      </c>
      <c r="R72">
        <v>1</v>
      </c>
      <c r="S72">
        <f>GDP!K85</f>
        <v>6610.05</v>
      </c>
      <c r="V72">
        <f t="shared" si="35"/>
        <v>-0.999928836315951</v>
      </c>
    </row>
    <row r="73" spans="1:22">
      <c r="A73" t="s">
        <v>113</v>
      </c>
      <c r="B73" s="3">
        <f>-CO2排放量!K86*100</f>
        <v>-33344.0799646667</v>
      </c>
      <c r="C73" s="3">
        <f>就业人口!K86</f>
        <v>1257.85</v>
      </c>
      <c r="D73" s="3">
        <f>资本存量!K86</f>
        <v>18955.357086013</v>
      </c>
      <c r="E73" s="3">
        <f>能源消耗量!L86</f>
        <v>11293.7</v>
      </c>
      <c r="F73" s="3">
        <f t="shared" si="24"/>
        <v>40849.3899646667</v>
      </c>
      <c r="G73" s="3">
        <f t="shared" si="25"/>
        <v>1582186.6225</v>
      </c>
      <c r="H73" s="3">
        <f t="shared" si="26"/>
        <v>359305562.258263</v>
      </c>
      <c r="I73" s="3">
        <f t="shared" si="27"/>
        <v>127547659.69</v>
      </c>
      <c r="J73" s="3">
        <f t="shared" si="28"/>
        <v>23842995.9106415</v>
      </c>
      <c r="K73" s="3">
        <f t="shared" si="29"/>
        <v>14205780.545</v>
      </c>
      <c r="L73" s="3">
        <f t="shared" si="30"/>
        <v>214076116.322305</v>
      </c>
      <c r="M73" s="3">
        <f t="shared" si="31"/>
        <v>1668672660.48541</v>
      </c>
      <c r="N73" s="3">
        <f t="shared" si="32"/>
        <v>51382405.167056</v>
      </c>
      <c r="O73" s="3">
        <f t="shared" si="33"/>
        <v>774314773.526053</v>
      </c>
      <c r="P73" s="3">
        <f t="shared" si="34"/>
        <v>461340755.443956</v>
      </c>
      <c r="Q73">
        <v>8</v>
      </c>
      <c r="R73">
        <v>2</v>
      </c>
      <c r="S73">
        <f>GDP!K86</f>
        <v>7505.31</v>
      </c>
      <c r="V73">
        <f t="shared" si="35"/>
        <v>-0.99993510028498</v>
      </c>
    </row>
    <row r="74" spans="1:22">
      <c r="A74" t="s">
        <v>114</v>
      </c>
      <c r="B74" s="3">
        <f>-CO2排放量!K87*100</f>
        <v>-33633.6771553333</v>
      </c>
      <c r="C74" s="3">
        <f>就业人口!K87</f>
        <v>1271.9</v>
      </c>
      <c r="D74" s="3">
        <f>资本存量!K87</f>
        <v>24867.9471057558</v>
      </c>
      <c r="E74" s="3">
        <f>能源消耗量!L87</f>
        <v>13631.8</v>
      </c>
      <c r="F74" s="3">
        <f t="shared" si="24"/>
        <v>42077.5171553333</v>
      </c>
      <c r="G74" s="3">
        <f t="shared" si="25"/>
        <v>1617729.61</v>
      </c>
      <c r="H74" s="3">
        <f t="shared" si="26"/>
        <v>618414793.254666</v>
      </c>
      <c r="I74" s="3">
        <f t="shared" si="27"/>
        <v>185825971.24</v>
      </c>
      <c r="J74" s="3">
        <f t="shared" si="28"/>
        <v>31629541.9238108</v>
      </c>
      <c r="K74" s="3">
        <f t="shared" si="29"/>
        <v>17338286.42</v>
      </c>
      <c r="L74" s="3">
        <f t="shared" si="30"/>
        <v>338994881.356241</v>
      </c>
      <c r="M74" s="3">
        <f t="shared" si="31"/>
        <v>1770517449.95737</v>
      </c>
      <c r="N74" s="3">
        <f t="shared" si="32"/>
        <v>53518394.0698685</v>
      </c>
      <c r="O74" s="3">
        <f t="shared" si="33"/>
        <v>1046381470.96036</v>
      </c>
      <c r="P74" s="3">
        <f t="shared" si="34"/>
        <v>573592298.358073</v>
      </c>
      <c r="Q74">
        <v>8</v>
      </c>
      <c r="R74">
        <v>3</v>
      </c>
      <c r="S74">
        <f>GDP!K87</f>
        <v>8443.84</v>
      </c>
      <c r="V74">
        <f t="shared" si="35"/>
        <v>-0.999925178747077</v>
      </c>
    </row>
    <row r="75" spans="1:22">
      <c r="A75" t="s">
        <v>115</v>
      </c>
      <c r="B75" s="3">
        <f>-CO2排放量!K88*100</f>
        <v>-36625.9665046667</v>
      </c>
      <c r="C75" s="3">
        <f>就业人口!K88</f>
        <v>1276.21</v>
      </c>
      <c r="D75" s="3">
        <f>资本存量!K88</f>
        <v>31928.3660836032</v>
      </c>
      <c r="E75" s="3">
        <f>能源消耗量!L88</f>
        <v>14926.1</v>
      </c>
      <c r="F75" s="3">
        <f t="shared" si="24"/>
        <v>45899.4265046667</v>
      </c>
      <c r="G75" s="3">
        <f t="shared" si="25"/>
        <v>1628711.9641</v>
      </c>
      <c r="H75" s="3">
        <f t="shared" si="26"/>
        <v>1019420560.76858</v>
      </c>
      <c r="I75" s="3">
        <f t="shared" si="27"/>
        <v>222788461.21</v>
      </c>
      <c r="J75" s="3">
        <f t="shared" si="28"/>
        <v>40747300.0795553</v>
      </c>
      <c r="K75" s="3">
        <f t="shared" si="29"/>
        <v>19048838.081</v>
      </c>
      <c r="L75" s="3">
        <f t="shared" si="30"/>
        <v>476565985.00047</v>
      </c>
      <c r="M75" s="3">
        <f t="shared" si="31"/>
        <v>2106757353.4573</v>
      </c>
      <c r="N75" s="3">
        <f t="shared" si="32"/>
        <v>58577307.0995207</v>
      </c>
      <c r="O75" s="3">
        <f t="shared" si="33"/>
        <v>1465493692.46844</v>
      </c>
      <c r="P75" s="3">
        <f t="shared" si="34"/>
        <v>685099429.951305</v>
      </c>
      <c r="Q75">
        <v>8</v>
      </c>
      <c r="R75">
        <v>4</v>
      </c>
      <c r="S75">
        <f>GDP!K88</f>
        <v>9273.46</v>
      </c>
      <c r="V75">
        <f t="shared" si="35"/>
        <v>-0.999919531985937</v>
      </c>
    </row>
    <row r="76" spans="1:22">
      <c r="A76" t="s">
        <v>116</v>
      </c>
      <c r="B76" s="3">
        <f>-CO2排放量!K89*100</f>
        <v>-37909.1800073333</v>
      </c>
      <c r="C76" s="3">
        <f>就业人口!K89</f>
        <v>1305.42</v>
      </c>
      <c r="D76" s="3">
        <f>资本存量!K89</f>
        <v>39676.2735395773</v>
      </c>
      <c r="E76" s="3">
        <f>能源消耗量!L89</f>
        <v>15666.1</v>
      </c>
      <c r="F76" s="3">
        <f t="shared" si="24"/>
        <v>47233.9800073333</v>
      </c>
      <c r="G76" s="3">
        <f t="shared" si="25"/>
        <v>1704121.3764</v>
      </c>
      <c r="H76" s="3">
        <f t="shared" si="26"/>
        <v>1574206681.98736</v>
      </c>
      <c r="I76" s="3">
        <f t="shared" si="27"/>
        <v>245426689.21</v>
      </c>
      <c r="J76" s="3">
        <f t="shared" si="28"/>
        <v>51794201.004035</v>
      </c>
      <c r="K76" s="3">
        <f t="shared" si="29"/>
        <v>20450840.262</v>
      </c>
      <c r="L76" s="3">
        <f t="shared" si="30"/>
        <v>621572468.898372</v>
      </c>
      <c r="M76" s="3">
        <f t="shared" si="31"/>
        <v>2231048867.33316</v>
      </c>
      <c r="N76" s="3">
        <f t="shared" si="32"/>
        <v>61660182.1811731</v>
      </c>
      <c r="O76" s="3">
        <f t="shared" si="33"/>
        <v>1874068311.13388</v>
      </c>
      <c r="P76" s="3">
        <f t="shared" si="34"/>
        <v>739972254.192885</v>
      </c>
      <c r="Q76">
        <v>8</v>
      </c>
      <c r="R76">
        <v>5</v>
      </c>
      <c r="S76">
        <f>GDP!K89</f>
        <v>9324.8</v>
      </c>
      <c r="V76">
        <f t="shared" si="35"/>
        <v>-0.999894168627628</v>
      </c>
    </row>
    <row r="77" spans="1:22">
      <c r="A77" t="s">
        <v>117</v>
      </c>
      <c r="B77" s="3">
        <f>-CO2排放量!K90*100</f>
        <v>-41085.3264313333</v>
      </c>
      <c r="C77" s="3">
        <f>就业人口!K90</f>
        <v>1332.66</v>
      </c>
      <c r="D77" s="3">
        <f>资本存量!K90</f>
        <v>46154.8811797779</v>
      </c>
      <c r="E77" s="3">
        <f>能源消耗量!L90</f>
        <v>16302.2</v>
      </c>
      <c r="F77" s="3">
        <f t="shared" si="24"/>
        <v>50735.0264313333</v>
      </c>
      <c r="G77" s="3">
        <f t="shared" si="25"/>
        <v>1775982.6756</v>
      </c>
      <c r="H77" s="3">
        <f t="shared" si="26"/>
        <v>2130273056.71941</v>
      </c>
      <c r="I77" s="3">
        <f t="shared" si="27"/>
        <v>265761724.84</v>
      </c>
      <c r="J77" s="3">
        <f t="shared" si="28"/>
        <v>61508763.9530428</v>
      </c>
      <c r="K77" s="3">
        <f t="shared" si="29"/>
        <v>21725289.852</v>
      </c>
      <c r="L77" s="3">
        <f t="shared" si="30"/>
        <v>752426103.968975</v>
      </c>
      <c r="M77" s="3">
        <f t="shared" si="31"/>
        <v>2574042906.98809</v>
      </c>
      <c r="N77" s="3">
        <f t="shared" si="32"/>
        <v>67612540.3239807</v>
      </c>
      <c r="O77" s="3">
        <f t="shared" si="33"/>
        <v>2341669116.59108</v>
      </c>
      <c r="P77" s="3">
        <f t="shared" si="34"/>
        <v>827092547.888882</v>
      </c>
      <c r="Q77">
        <v>8</v>
      </c>
      <c r="R77">
        <v>6</v>
      </c>
      <c r="S77">
        <f>GDP!K90</f>
        <v>9649.7</v>
      </c>
      <c r="V77">
        <f t="shared" si="35"/>
        <v>-0.999882565825846</v>
      </c>
    </row>
    <row r="78" spans="1:22">
      <c r="A78" t="s">
        <v>118</v>
      </c>
      <c r="B78" s="3">
        <f>-CO2排放量!K91*100</f>
        <v>-45226.48373</v>
      </c>
      <c r="C78" s="3">
        <f>就业人口!K91</f>
        <v>1349.79</v>
      </c>
      <c r="D78" s="3">
        <f>资本存量!K91</f>
        <v>53813.1302865192</v>
      </c>
      <c r="E78" s="3">
        <f>能源消耗量!L91</f>
        <v>17386.3</v>
      </c>
      <c r="F78" s="3">
        <f t="shared" si="24"/>
        <v>56108.44373</v>
      </c>
      <c r="G78" s="3">
        <f t="shared" si="25"/>
        <v>1821933.0441</v>
      </c>
      <c r="H78" s="3">
        <f t="shared" si="26"/>
        <v>2895852991.23389</v>
      </c>
      <c r="I78" s="3">
        <f t="shared" si="27"/>
        <v>302283427.69</v>
      </c>
      <c r="J78" s="3">
        <f t="shared" si="28"/>
        <v>72636425.1294408</v>
      </c>
      <c r="K78" s="3">
        <f t="shared" si="29"/>
        <v>23467853.877</v>
      </c>
      <c r="L78" s="3">
        <f t="shared" si="30"/>
        <v>935611227.100509</v>
      </c>
      <c r="M78" s="3">
        <f t="shared" si="31"/>
        <v>3148157457.80258</v>
      </c>
      <c r="N78" s="3">
        <f t="shared" si="32"/>
        <v>75734616.2623167</v>
      </c>
      <c r="O78" s="3">
        <f t="shared" si="33"/>
        <v>3019370992.61632</v>
      </c>
      <c r="P78" s="3">
        <f t="shared" si="34"/>
        <v>975518235.222899</v>
      </c>
      <c r="Q78">
        <v>8</v>
      </c>
      <c r="R78">
        <v>7</v>
      </c>
      <c r="S78">
        <f>GDP!K91</f>
        <v>10881.96</v>
      </c>
      <c r="V78">
        <f t="shared" si="35"/>
        <v>-0.999878992898732</v>
      </c>
    </row>
    <row r="79" spans="1:22">
      <c r="A79" t="s">
        <v>119</v>
      </c>
      <c r="B79" s="3">
        <f>-CO2排放量!K92*100</f>
        <v>-48094.6054513333</v>
      </c>
      <c r="C79" s="3">
        <f>就业人口!K92</f>
        <v>1343.95</v>
      </c>
      <c r="D79" s="3">
        <f>资本存量!K92</f>
        <v>58236.1579386534</v>
      </c>
      <c r="E79" s="3">
        <f>能源消耗量!L92</f>
        <v>17694</v>
      </c>
      <c r="F79" s="3">
        <f t="shared" si="24"/>
        <v>60903.9954513333</v>
      </c>
      <c r="G79" s="3">
        <f t="shared" si="25"/>
        <v>1806201.6025</v>
      </c>
      <c r="H79" s="3">
        <f t="shared" si="26"/>
        <v>3391450091.45578</v>
      </c>
      <c r="I79" s="3">
        <f t="shared" si="27"/>
        <v>313077636</v>
      </c>
      <c r="J79" s="3">
        <f t="shared" si="28"/>
        <v>78266484.4616532</v>
      </c>
      <c r="K79" s="3">
        <f t="shared" si="29"/>
        <v>23779851.3</v>
      </c>
      <c r="L79" s="3">
        <f t="shared" si="30"/>
        <v>1030430578.56653</v>
      </c>
      <c r="M79" s="3">
        <f t="shared" si="31"/>
        <v>3709296661.93603</v>
      </c>
      <c r="N79" s="3">
        <f t="shared" si="32"/>
        <v>81851924.6868194</v>
      </c>
      <c r="O79" s="3">
        <f t="shared" si="33"/>
        <v>3546814698.19887</v>
      </c>
      <c r="P79" s="3">
        <f t="shared" si="34"/>
        <v>1077635295.51589</v>
      </c>
      <c r="Q79">
        <v>8</v>
      </c>
      <c r="R79">
        <v>8</v>
      </c>
      <c r="S79">
        <f>GDP!K92</f>
        <v>12809.39</v>
      </c>
      <c r="V79">
        <f t="shared" si="35"/>
        <v>-0.999891816835619</v>
      </c>
    </row>
    <row r="80" spans="1:22">
      <c r="A80" t="s">
        <v>120</v>
      </c>
      <c r="B80" s="3">
        <f>-CO2排放量!K93*100</f>
        <v>-51930.5165726667</v>
      </c>
      <c r="C80" s="3">
        <f>就业人口!K93</f>
        <v>1355.06</v>
      </c>
      <c r="D80" s="3">
        <f>资本存量!K93</f>
        <v>63004.5787154017</v>
      </c>
      <c r="E80" s="3">
        <f>能源消耗量!L93</f>
        <v>18489.8</v>
      </c>
      <c r="F80" s="3">
        <f t="shared" si="24"/>
        <v>65527.6265726667</v>
      </c>
      <c r="G80" s="3">
        <f t="shared" si="25"/>
        <v>1836187.6036</v>
      </c>
      <c r="H80" s="3">
        <f t="shared" si="26"/>
        <v>3969576939.10525</v>
      </c>
      <c r="I80" s="3">
        <f t="shared" si="27"/>
        <v>341872704.04</v>
      </c>
      <c r="J80" s="3">
        <f t="shared" si="28"/>
        <v>85374984.4340923</v>
      </c>
      <c r="K80" s="3">
        <f t="shared" si="29"/>
        <v>25054788.388</v>
      </c>
      <c r="L80" s="3">
        <f t="shared" si="30"/>
        <v>1164942059.53203</v>
      </c>
      <c r="M80" s="3">
        <f t="shared" si="31"/>
        <v>4293869844.24685</v>
      </c>
      <c r="N80" s="3">
        <f t="shared" si="32"/>
        <v>88793865.6635577</v>
      </c>
      <c r="O80" s="3">
        <f t="shared" si="33"/>
        <v>4128540506.43103</v>
      </c>
      <c r="P80" s="3">
        <f t="shared" si="34"/>
        <v>1211592709.80329</v>
      </c>
      <c r="Q80">
        <v>8</v>
      </c>
      <c r="R80">
        <v>9</v>
      </c>
      <c r="S80">
        <f>GDP!K93</f>
        <v>13597.11</v>
      </c>
      <c r="V80">
        <f t="shared" si="35"/>
        <v>-0.999899274514924</v>
      </c>
    </row>
    <row r="81" spans="1:22">
      <c r="A81" t="s">
        <v>121</v>
      </c>
      <c r="B81" s="3">
        <f>-CO2排放量!K94*100</f>
        <v>-55546.73467</v>
      </c>
      <c r="C81" s="3">
        <f>就业人口!K94</f>
        <v>1369.07</v>
      </c>
      <c r="D81" s="3">
        <f>资本存量!K94</f>
        <v>69449.2040369872</v>
      </c>
      <c r="E81" s="3">
        <f>能源消耗量!L94</f>
        <v>18981.8</v>
      </c>
      <c r="F81" s="3">
        <f t="shared" si="24"/>
        <v>69344.31467</v>
      </c>
      <c r="G81" s="3">
        <f t="shared" si="25"/>
        <v>1874352.6649</v>
      </c>
      <c r="H81" s="3">
        <f t="shared" si="26"/>
        <v>4823191941.37108</v>
      </c>
      <c r="I81" s="3">
        <f t="shared" si="27"/>
        <v>360308731.24</v>
      </c>
      <c r="J81" s="3">
        <f t="shared" si="28"/>
        <v>95080821.7709181</v>
      </c>
      <c r="K81" s="3">
        <f t="shared" si="29"/>
        <v>25987412.926</v>
      </c>
      <c r="L81" s="3">
        <f t="shared" si="30"/>
        <v>1318270901.18928</v>
      </c>
      <c r="M81" s="3">
        <f t="shared" si="31"/>
        <v>4808633977.05198</v>
      </c>
      <c r="N81" s="3">
        <f t="shared" si="32"/>
        <v>94937220.8852569</v>
      </c>
      <c r="O81" s="3">
        <f t="shared" si="33"/>
        <v>4815907458.32188</v>
      </c>
      <c r="P81" s="3">
        <f t="shared" si="34"/>
        <v>1316279912.20301</v>
      </c>
      <c r="Q81">
        <v>8</v>
      </c>
      <c r="R81">
        <v>10</v>
      </c>
      <c r="S81">
        <f>GDP!K94</f>
        <v>13797.58</v>
      </c>
      <c r="V81">
        <f t="shared" si="35"/>
        <v>-0.999891744664759</v>
      </c>
    </row>
    <row r="82" spans="5:5">
      <c r="E82" s="3"/>
    </row>
  </sheetData>
  <pageMargins left="0.7" right="0.7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V81"/>
  <sheetViews>
    <sheetView workbookViewId="0">
      <selection activeCell="B4" sqref="B4"/>
    </sheetView>
  </sheetViews>
  <sheetFormatPr defaultColWidth="8.775" defaultRowHeight="14"/>
  <sheetData>
    <row r="1" spans="3:22">
      <c r="C1" s="6" t="s">
        <v>13</v>
      </c>
      <c r="D1" s="6" t="s">
        <v>14</v>
      </c>
      <c r="E1" s="6" t="s">
        <v>15</v>
      </c>
      <c r="F1" s="6" t="s">
        <v>29</v>
      </c>
      <c r="G1" s="6" t="s">
        <v>122</v>
      </c>
      <c r="H1" s="6" t="s">
        <v>17</v>
      </c>
      <c r="I1" s="6" t="s">
        <v>18</v>
      </c>
      <c r="J1" s="6" t="s">
        <v>19</v>
      </c>
      <c r="K1" s="6" t="s">
        <v>20</v>
      </c>
      <c r="L1" s="6" t="s">
        <v>21</v>
      </c>
      <c r="M1" s="6" t="s">
        <v>22</v>
      </c>
      <c r="N1" s="6" t="s">
        <v>123</v>
      </c>
      <c r="O1" s="6" t="s">
        <v>124</v>
      </c>
      <c r="P1" s="6" t="s">
        <v>125</v>
      </c>
      <c r="Q1" s="6" t="s">
        <v>126</v>
      </c>
      <c r="R1" s="6" t="s">
        <v>127</v>
      </c>
      <c r="S1" s="6" t="s">
        <v>128</v>
      </c>
      <c r="T1" s="6" t="s">
        <v>129</v>
      </c>
      <c r="U1" s="6" t="s">
        <v>130</v>
      </c>
      <c r="V1" s="6" t="s">
        <v>131</v>
      </c>
    </row>
    <row r="2" spans="2:3">
      <c r="B2" s="7">
        <v>40908</v>
      </c>
      <c r="C2">
        <v>0.681747282872145</v>
      </c>
    </row>
    <row r="3" spans="2:3">
      <c r="B3" s="7">
        <v>41274</v>
      </c>
      <c r="C3">
        <v>0.716766772837363</v>
      </c>
    </row>
    <row r="4" spans="2:3">
      <c r="B4" s="7">
        <v>41639</v>
      </c>
      <c r="C4">
        <v>0.77488563733822</v>
      </c>
    </row>
    <row r="5" spans="2:3">
      <c r="B5" s="7">
        <v>42004</v>
      </c>
      <c r="C5">
        <v>0.837021866213588</v>
      </c>
    </row>
    <row r="6" spans="2:3">
      <c r="B6" s="7">
        <v>42369</v>
      </c>
      <c r="C6">
        <v>0.892275493815237</v>
      </c>
    </row>
    <row r="7" spans="2:3">
      <c r="B7" s="7">
        <v>42735</v>
      </c>
      <c r="C7">
        <v>1.00078288785166</v>
      </c>
    </row>
    <row r="8" spans="2:3">
      <c r="B8" s="7">
        <v>43100</v>
      </c>
      <c r="C8">
        <v>1.08795035233167</v>
      </c>
    </row>
    <row r="9" spans="2:3">
      <c r="B9" s="7">
        <v>43465</v>
      </c>
      <c r="C9">
        <v>1.27898296108558</v>
      </c>
    </row>
    <row r="10" spans="2:3">
      <c r="B10" s="7">
        <v>43830</v>
      </c>
      <c r="C10">
        <v>1.3551107429385</v>
      </c>
    </row>
    <row r="11" spans="2:3">
      <c r="B11" s="7">
        <v>44196</v>
      </c>
      <c r="C11">
        <v>1.37447600271603</v>
      </c>
    </row>
    <row r="12" spans="2:3">
      <c r="B12" s="7">
        <v>40908</v>
      </c>
      <c r="C12">
        <v>0.648797765590299</v>
      </c>
    </row>
    <row r="13" spans="2:3">
      <c r="B13" s="7">
        <v>41274</v>
      </c>
      <c r="C13">
        <v>0.714165333397451</v>
      </c>
    </row>
    <row r="14" spans="2:3">
      <c r="B14" s="7">
        <v>41639</v>
      </c>
      <c r="C14">
        <v>0.789404190660944</v>
      </c>
    </row>
    <row r="15" spans="2:3">
      <c r="B15" s="7">
        <v>42004</v>
      </c>
      <c r="C15">
        <v>0.859884431138872</v>
      </c>
    </row>
    <row r="16" spans="2:3">
      <c r="B16" s="7">
        <v>42369</v>
      </c>
      <c r="C16">
        <v>0.926310335399914</v>
      </c>
    </row>
    <row r="17" spans="2:3">
      <c r="B17" s="7">
        <v>42735</v>
      </c>
      <c r="C17">
        <v>1.02237970076069</v>
      </c>
    </row>
    <row r="18" spans="2:3">
      <c r="B18" s="7">
        <v>43100</v>
      </c>
      <c r="C18">
        <v>1.13442887648093</v>
      </c>
    </row>
    <row r="19" spans="2:3">
      <c r="B19" s="7">
        <v>43465</v>
      </c>
      <c r="C19">
        <v>1.23136871729978</v>
      </c>
    </row>
    <row r="20" spans="2:3">
      <c r="B20" s="7">
        <v>43830</v>
      </c>
      <c r="C20">
        <v>1.31623604509536</v>
      </c>
    </row>
    <row r="21" spans="2:3">
      <c r="B21" s="7">
        <v>44196</v>
      </c>
      <c r="C21">
        <v>1.35702460417576</v>
      </c>
    </row>
    <row r="22" spans="2:3">
      <c r="B22" s="7">
        <v>40908</v>
      </c>
      <c r="C22">
        <v>0.685029109898052</v>
      </c>
    </row>
    <row r="23" spans="2:3">
      <c r="B23" s="7">
        <v>41274</v>
      </c>
      <c r="C23">
        <v>0.734765010333667</v>
      </c>
    </row>
    <row r="24" spans="2:3">
      <c r="B24" s="7">
        <v>41639</v>
      </c>
      <c r="C24">
        <v>0.80028702723626</v>
      </c>
    </row>
    <row r="25" spans="2:3">
      <c r="B25" s="7">
        <v>42004</v>
      </c>
      <c r="C25">
        <v>0.851506009118757</v>
      </c>
    </row>
    <row r="26" spans="2:3">
      <c r="B26" s="7">
        <v>42369</v>
      </c>
      <c r="C26">
        <v>0.909020403614352</v>
      </c>
    </row>
    <row r="27" spans="2:3">
      <c r="B27" s="7">
        <v>42735</v>
      </c>
      <c r="C27">
        <v>1.00153802137986</v>
      </c>
    </row>
    <row r="28" spans="2:3">
      <c r="B28" s="7">
        <v>43100</v>
      </c>
      <c r="C28">
        <v>1.09727806121724</v>
      </c>
    </row>
    <row r="29" spans="2:3">
      <c r="B29" s="7">
        <v>43465</v>
      </c>
      <c r="C29">
        <v>1.22942937206666</v>
      </c>
    </row>
    <row r="30" spans="2:3">
      <c r="B30" s="7">
        <v>43830</v>
      </c>
      <c r="C30">
        <v>1.3216050989684</v>
      </c>
    </row>
    <row r="31" spans="2:3">
      <c r="B31" s="7">
        <v>44196</v>
      </c>
      <c r="C31">
        <v>1.36954188616675</v>
      </c>
    </row>
    <row r="32" spans="2:3">
      <c r="B32" s="7">
        <v>40908</v>
      </c>
      <c r="C32">
        <v>0.598084540939504</v>
      </c>
    </row>
    <row r="33" spans="2:3">
      <c r="B33" s="7">
        <v>41274</v>
      </c>
      <c r="C33">
        <v>0.672798958913496</v>
      </c>
    </row>
    <row r="34" spans="2:3">
      <c r="B34" s="7">
        <v>41639</v>
      </c>
      <c r="C34">
        <v>0.751652331895996</v>
      </c>
    </row>
    <row r="35" spans="2:3">
      <c r="B35" s="7">
        <v>42004</v>
      </c>
      <c r="C35">
        <v>0.814953197289505</v>
      </c>
    </row>
    <row r="36" spans="2:3">
      <c r="B36" s="7">
        <v>42369</v>
      </c>
      <c r="C36">
        <v>0.860174379299871</v>
      </c>
    </row>
    <row r="37" spans="2:3">
      <c r="B37" s="7">
        <v>42735</v>
      </c>
      <c r="C37">
        <v>0.954065363440498</v>
      </c>
    </row>
    <row r="38" spans="2:3">
      <c r="B38" s="7">
        <v>43100</v>
      </c>
      <c r="C38">
        <v>1.05610206933062</v>
      </c>
    </row>
    <row r="39" spans="2:3">
      <c r="B39" s="7">
        <v>43465</v>
      </c>
      <c r="C39">
        <v>1.32944636426814</v>
      </c>
    </row>
    <row r="40" spans="2:3">
      <c r="B40" s="7">
        <v>43830</v>
      </c>
      <c r="C40">
        <v>1.45074213780055</v>
      </c>
    </row>
    <row r="41" spans="2:3">
      <c r="B41" s="7">
        <v>44196</v>
      </c>
      <c r="C41">
        <v>1.51198065682182</v>
      </c>
    </row>
    <row r="42" spans="2:3">
      <c r="B42" s="7">
        <v>40908</v>
      </c>
      <c r="C42">
        <v>0.856303655231008</v>
      </c>
    </row>
    <row r="43" spans="2:3">
      <c r="B43" s="7">
        <v>41274</v>
      </c>
      <c r="C43">
        <v>0.946985470024918</v>
      </c>
    </row>
    <row r="44" spans="2:3">
      <c r="B44" s="7">
        <v>41639</v>
      </c>
      <c r="C44">
        <v>1.00875935613394</v>
      </c>
    </row>
    <row r="45" spans="2:3">
      <c r="B45" s="7">
        <v>42004</v>
      </c>
      <c r="C45">
        <v>1.05966607240833</v>
      </c>
    </row>
    <row r="46" spans="2:3">
      <c r="B46" s="7">
        <v>42369</v>
      </c>
      <c r="C46">
        <v>1.06332268439337</v>
      </c>
    </row>
    <row r="47" spans="2:3">
      <c r="B47" s="7">
        <v>42735</v>
      </c>
      <c r="C47">
        <v>1.08100891458656</v>
      </c>
    </row>
    <row r="48" spans="2:3">
      <c r="B48" s="7">
        <v>43100</v>
      </c>
      <c r="C48">
        <v>0.959843916409184</v>
      </c>
    </row>
    <row r="49" spans="2:3">
      <c r="B49" s="7">
        <v>43465</v>
      </c>
      <c r="C49">
        <v>0.962502892667116</v>
      </c>
    </row>
    <row r="50" spans="2:3">
      <c r="B50" s="7">
        <v>43830</v>
      </c>
      <c r="C50">
        <v>1.02641194458264</v>
      </c>
    </row>
    <row r="51" spans="2:3">
      <c r="B51" s="7">
        <v>44196</v>
      </c>
      <c r="C51">
        <v>1.03519509356292</v>
      </c>
    </row>
    <row r="52" spans="2:3">
      <c r="B52" s="7">
        <v>40908</v>
      </c>
      <c r="C52">
        <v>0.705824443984562</v>
      </c>
    </row>
    <row r="53" spans="2:3">
      <c r="B53" s="7">
        <v>41274</v>
      </c>
      <c r="C53">
        <v>0.794374133332911</v>
      </c>
    </row>
    <row r="54" spans="2:3">
      <c r="B54" s="7">
        <v>41639</v>
      </c>
      <c r="C54">
        <v>0.890045431566242</v>
      </c>
    </row>
    <row r="55" spans="2:3">
      <c r="B55" s="7">
        <v>42004</v>
      </c>
      <c r="C55">
        <v>0.96120310481343</v>
      </c>
    </row>
    <row r="56" spans="2:3">
      <c r="B56" s="7">
        <v>42369</v>
      </c>
      <c r="C56">
        <v>0.954665024492184</v>
      </c>
    </row>
    <row r="57" spans="2:3">
      <c r="B57" s="7">
        <v>42735</v>
      </c>
      <c r="C57">
        <v>1.01231525798559</v>
      </c>
    </row>
    <row r="58" spans="2:3">
      <c r="B58" s="7">
        <v>43100</v>
      </c>
      <c r="C58">
        <v>1.04880306376564</v>
      </c>
    </row>
    <row r="59" spans="2:3">
      <c r="B59" s="7">
        <v>43465</v>
      </c>
      <c r="C59">
        <v>1.1393683536795</v>
      </c>
    </row>
    <row r="60" spans="2:3">
      <c r="B60" s="7">
        <v>43830</v>
      </c>
      <c r="C60">
        <v>1.22572424940604</v>
      </c>
    </row>
    <row r="61" spans="2:3">
      <c r="B61" s="7">
        <v>44196</v>
      </c>
      <c r="C61">
        <v>1.26767693697389</v>
      </c>
    </row>
    <row r="62" spans="2:3">
      <c r="B62" s="7">
        <v>40908</v>
      </c>
      <c r="C62">
        <v>0.689784498330344</v>
      </c>
    </row>
    <row r="63" spans="2:3">
      <c r="B63" s="7">
        <v>41274</v>
      </c>
      <c r="C63">
        <v>0.768232264186666</v>
      </c>
    </row>
    <row r="64" spans="2:3">
      <c r="B64" s="7">
        <v>41639</v>
      </c>
      <c r="C64">
        <v>0.845761284249121</v>
      </c>
    </row>
    <row r="65" spans="2:3">
      <c r="B65" s="7">
        <v>42004</v>
      </c>
      <c r="C65">
        <v>0.903028678321832</v>
      </c>
    </row>
    <row r="66" spans="2:3">
      <c r="B66" s="7">
        <v>42369</v>
      </c>
      <c r="C66">
        <v>0.955420157217093</v>
      </c>
    </row>
    <row r="67" spans="2:3">
      <c r="B67" s="7">
        <v>42735</v>
      </c>
      <c r="C67">
        <v>1.03968883392456</v>
      </c>
    </row>
    <row r="68" spans="2:3">
      <c r="B68" s="7">
        <v>43100</v>
      </c>
      <c r="C68">
        <v>1.12991295211727</v>
      </c>
    </row>
    <row r="69" spans="2:3">
      <c r="B69" s="7">
        <v>43465</v>
      </c>
      <c r="C69">
        <v>1.15178238324628</v>
      </c>
    </row>
    <row r="70" spans="2:3">
      <c r="B70" s="7">
        <v>43830</v>
      </c>
      <c r="C70">
        <v>1.22996436906937</v>
      </c>
    </row>
    <row r="71" spans="2:3">
      <c r="B71" s="7">
        <v>44196</v>
      </c>
      <c r="C71">
        <v>1.28642457933747</v>
      </c>
    </row>
    <row r="72" spans="2:3">
      <c r="B72" s="7">
        <v>40908</v>
      </c>
      <c r="C72">
        <v>0.648723369174783</v>
      </c>
    </row>
    <row r="73" spans="2:3">
      <c r="B73" s="7">
        <v>41274</v>
      </c>
      <c r="C73">
        <v>0.736585954705515</v>
      </c>
    </row>
    <row r="74" spans="2:3">
      <c r="B74" s="7">
        <v>41639</v>
      </c>
      <c r="C74">
        <v>0.828695143542454</v>
      </c>
    </row>
    <row r="75" spans="2:3">
      <c r="B75" s="7">
        <v>42004</v>
      </c>
      <c r="C75">
        <v>0.910115689761436</v>
      </c>
    </row>
    <row r="76" spans="2:3">
      <c r="B76" s="7">
        <v>42369</v>
      </c>
      <c r="C76">
        <v>0.915154298814837</v>
      </c>
    </row>
    <row r="77" spans="2:3">
      <c r="B77" s="7">
        <v>42735</v>
      </c>
      <c r="C77">
        <v>0.94704062685243</v>
      </c>
    </row>
    <row r="78" spans="2:3">
      <c r="B78" s="7">
        <v>43100</v>
      </c>
      <c r="C78">
        <v>1.06797705833166</v>
      </c>
    </row>
    <row r="79" spans="2:3">
      <c r="B79" s="7">
        <v>43465</v>
      </c>
      <c r="C79">
        <v>1.25713884734212</v>
      </c>
    </row>
    <row r="80" spans="2:3">
      <c r="B80" s="7">
        <v>43830</v>
      </c>
      <c r="C80">
        <v>1.33444724476216</v>
      </c>
    </row>
    <row r="81" spans="2:3">
      <c r="B81" s="7">
        <v>44196</v>
      </c>
      <c r="C81">
        <v>1.3541217667126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82"/>
  <sheetViews>
    <sheetView topLeftCell="P75" workbookViewId="0">
      <selection activeCell="V2" sqref="V2:V81"/>
    </sheetView>
  </sheetViews>
  <sheetFormatPr defaultColWidth="8.775" defaultRowHeight="14"/>
  <cols>
    <col min="2" max="2" width="15" customWidth="1"/>
    <col min="3" max="3" width="12.775" customWidth="1"/>
    <col min="4" max="4" width="15" customWidth="1"/>
    <col min="5" max="5" width="14" customWidth="1"/>
    <col min="6" max="6" width="15" customWidth="1"/>
    <col min="7" max="7" width="17.3333333333333" customWidth="1"/>
    <col min="8" max="8" width="21.775" customWidth="1"/>
    <col min="9" max="10" width="19.4416666666667" customWidth="1"/>
    <col min="11" max="11" width="18.4416666666667" customWidth="1"/>
    <col min="12" max="13" width="20.6666666666667" customWidth="1"/>
    <col min="14" max="14" width="18.4416666666667" customWidth="1"/>
    <col min="15" max="15" width="20.6666666666667" customWidth="1"/>
    <col min="16" max="17" width="19.4416666666667" customWidth="1"/>
    <col min="19" max="19" width="9" customWidth="1"/>
    <col min="21" max="21" width="12" customWidth="1"/>
    <col min="22" max="22" width="16.8833333333333" customWidth="1"/>
    <col min="24" max="24" width="15.3333333333333" style="1" customWidth="1"/>
  </cols>
  <sheetData>
    <row r="1" spans="2:22"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  <c r="O1" s="3" t="s">
        <v>25</v>
      </c>
      <c r="P1" s="3" t="s">
        <v>26</v>
      </c>
      <c r="Q1" t="s">
        <v>27</v>
      </c>
      <c r="R1" s="3" t="s">
        <v>28</v>
      </c>
      <c r="S1" s="3" t="s">
        <v>29</v>
      </c>
      <c r="U1" s="4" t="s">
        <v>30</v>
      </c>
      <c r="V1" t="s">
        <v>31</v>
      </c>
    </row>
    <row r="2" spans="1:24">
      <c r="A2" t="s">
        <v>32</v>
      </c>
      <c r="B2" s="3">
        <f>-CO2排放量!K15*100</f>
        <v>-17060.2964113333</v>
      </c>
      <c r="C2" s="3">
        <f>就业人口!K15</f>
        <v>1104.33</v>
      </c>
      <c r="D2" s="3">
        <f>资本存量!K15</f>
        <v>28026.2556734583</v>
      </c>
      <c r="E2" s="3">
        <f>能源消耗量!L15</f>
        <v>10489.09</v>
      </c>
      <c r="F2" s="3">
        <f t="shared" ref="F2:F65" si="0">S2-B2</f>
        <v>36255.9864113333</v>
      </c>
      <c r="G2" s="3">
        <f t="shared" ref="G2:I33" si="1">C2*C2</f>
        <v>1219544.7489</v>
      </c>
      <c r="H2" s="3">
        <f t="shared" si="1"/>
        <v>785471007.074054</v>
      </c>
      <c r="I2" s="3">
        <f t="shared" si="1"/>
        <v>110021009.0281</v>
      </c>
      <c r="J2" s="3">
        <f t="shared" ref="J2:J65" si="2">C2*D2</f>
        <v>30950234.9278702</v>
      </c>
      <c r="K2" s="3">
        <f t="shared" ref="K2:K65" si="3">C2*E2</f>
        <v>11583416.7597</v>
      </c>
      <c r="L2" s="3">
        <f t="shared" ref="L2:L65" si="4">D2*E2</f>
        <v>293969918.121915</v>
      </c>
      <c r="M2" s="3">
        <f>F2*F2</f>
        <v>1314496550.65879</v>
      </c>
      <c r="N2" s="3">
        <f t="shared" ref="N2:N65" si="5">C2*F2</f>
        <v>40038573.4736277</v>
      </c>
      <c r="O2" s="3">
        <f t="shared" ref="O2:O65" si="6">D2*F2</f>
        <v>1016119544.85746</v>
      </c>
      <c r="P2" s="3">
        <f t="shared" ref="P2:P65" si="7">E2*F2</f>
        <v>380292304.507252</v>
      </c>
      <c r="Q2">
        <v>1</v>
      </c>
      <c r="R2">
        <v>1</v>
      </c>
      <c r="S2">
        <f>GDP!K15</f>
        <v>19195.69</v>
      </c>
      <c r="U2">
        <f>1+U14</f>
        <v>0.9074809</v>
      </c>
      <c r="V2" s="5">
        <f>-($U$2+$U$4*B2*(-1)+$U$8*C2+$U$10*D2+$U$12*E2+$U$6*S2)/($U$14+$U$16*S2+$U$18*C2+$U$20*D2+$U$22*E2+$U$6*B2*(-1))</f>
        <v>-1.79685245677255</v>
      </c>
      <c r="X2" s="1">
        <f>-10000/V2</f>
        <v>5565.28721226322</v>
      </c>
    </row>
    <row r="3" spans="1:24">
      <c r="A3" t="s">
        <v>33</v>
      </c>
      <c r="B3" s="3">
        <f>-CO2排放量!K16*100</f>
        <v>-16852.0721172</v>
      </c>
      <c r="C3" s="3">
        <f>就业人口!K16</f>
        <v>1115.5</v>
      </c>
      <c r="D3" s="3">
        <f>资本存量!K16</f>
        <v>30590.1151288063</v>
      </c>
      <c r="E3" s="3">
        <f>能源消耗量!L16</f>
        <v>10573</v>
      </c>
      <c r="F3" s="3">
        <f t="shared" si="0"/>
        <v>37033.7921172</v>
      </c>
      <c r="G3" s="3">
        <f t="shared" si="1"/>
        <v>1244340.25</v>
      </c>
      <c r="H3" s="3">
        <f t="shared" si="1"/>
        <v>935755143.593624</v>
      </c>
      <c r="I3" s="3">
        <f t="shared" si="1"/>
        <v>111788329</v>
      </c>
      <c r="J3" s="3">
        <f t="shared" si="2"/>
        <v>34123273.4261834</v>
      </c>
      <c r="K3" s="3">
        <f t="shared" si="3"/>
        <v>11794181.5</v>
      </c>
      <c r="L3" s="3">
        <f t="shared" si="4"/>
        <v>323429287.256869</v>
      </c>
      <c r="M3" s="3">
        <f t="shared" ref="M3:M66" si="8">F3*F3</f>
        <v>1371501758.57998</v>
      </c>
      <c r="N3" s="3">
        <f t="shared" si="5"/>
        <v>41311195.1067366</v>
      </c>
      <c r="O3" s="3">
        <f t="shared" si="6"/>
        <v>1132867964.52143</v>
      </c>
      <c r="P3" s="3">
        <f t="shared" si="7"/>
        <v>391558284.055156</v>
      </c>
      <c r="Q3">
        <v>1</v>
      </c>
      <c r="R3">
        <v>2</v>
      </c>
      <c r="S3">
        <f>GDP!K16</f>
        <v>20181.72</v>
      </c>
      <c r="U3" s="4" t="s">
        <v>34</v>
      </c>
      <c r="V3">
        <f t="shared" ref="V3:V33" si="9">-($U$2+$U$4*B3*(-1)+$U$8*C3+$U$10*D3+$U$12*E3+$U$6*S3)/($U$14+$U$16*S3+$U$18*C3+$U$20*D3+$U$22*E3+$U$6*B3*(-1))</f>
        <v>-1.78842269659994</v>
      </c>
      <c r="X3" s="1">
        <f t="shared" ref="X3:X66" si="10">-10000/V3</f>
        <v>5591.51928624674</v>
      </c>
    </row>
    <row r="4" spans="1:24">
      <c r="A4" t="s">
        <v>35</v>
      </c>
      <c r="B4" s="3">
        <f>-CO2排放量!K17*100</f>
        <v>-18178.292098</v>
      </c>
      <c r="C4" s="3">
        <f>就业人口!K17</f>
        <v>1137.35</v>
      </c>
      <c r="D4" s="3">
        <f>资本存量!K17</f>
        <v>33301.2540764409</v>
      </c>
      <c r="E4" s="3">
        <f>能源消耗量!L17</f>
        <v>10890.39</v>
      </c>
      <c r="F4" s="3">
        <f t="shared" si="0"/>
        <v>39996.442098</v>
      </c>
      <c r="G4" s="3">
        <f t="shared" si="1"/>
        <v>1293565.0225</v>
      </c>
      <c r="H4" s="3">
        <f t="shared" si="1"/>
        <v>1108973523.06367</v>
      </c>
      <c r="I4" s="3">
        <f t="shared" si="1"/>
        <v>118600594.3521</v>
      </c>
      <c r="J4" s="3">
        <f t="shared" si="2"/>
        <v>37875181.3238401</v>
      </c>
      <c r="K4" s="3">
        <f t="shared" si="3"/>
        <v>12386185.0665</v>
      </c>
      <c r="L4" s="3">
        <f t="shared" si="4"/>
        <v>362663644.381531</v>
      </c>
      <c r="M4" s="3">
        <f t="shared" si="8"/>
        <v>1599715380.49867</v>
      </c>
      <c r="N4" s="3">
        <f t="shared" si="5"/>
        <v>45489953.4201603</v>
      </c>
      <c r="O4" s="3">
        <f t="shared" si="6"/>
        <v>1331931680.45915</v>
      </c>
      <c r="P4" s="3">
        <f t="shared" si="7"/>
        <v>435576853.059638</v>
      </c>
      <c r="Q4">
        <v>1</v>
      </c>
      <c r="R4">
        <v>3</v>
      </c>
      <c r="S4">
        <f>GDP!K17</f>
        <v>21818.15</v>
      </c>
      <c r="U4">
        <f>U16</f>
        <v>-3.2e-5</v>
      </c>
      <c r="V4">
        <f t="shared" si="9"/>
        <v>-1.79368946494964</v>
      </c>
      <c r="X4" s="1">
        <f t="shared" si="10"/>
        <v>5575.10103917612</v>
      </c>
    </row>
    <row r="5" spans="1:24">
      <c r="A5" t="s">
        <v>36</v>
      </c>
      <c r="B5" s="3">
        <f>-CO2排放量!K18*100</f>
        <v>-15654.6572718</v>
      </c>
      <c r="C5" s="3">
        <f>就业人口!K18</f>
        <v>1365.63</v>
      </c>
      <c r="D5" s="3">
        <f>资本存量!K18</f>
        <v>36120.7636851026</v>
      </c>
      <c r="E5" s="3">
        <f>能源消耗量!L18</f>
        <v>10639.86</v>
      </c>
      <c r="F5" s="3">
        <f t="shared" si="0"/>
        <v>39222.3526198</v>
      </c>
      <c r="G5" s="3">
        <f t="shared" si="1"/>
        <v>1864945.2969</v>
      </c>
      <c r="H5" s="3">
        <f t="shared" si="1"/>
        <v>1304709569.19502</v>
      </c>
      <c r="I5" s="3">
        <f t="shared" si="1"/>
        <v>113206620.8196</v>
      </c>
      <c r="J5" s="3">
        <f t="shared" si="2"/>
        <v>49327598.5112866</v>
      </c>
      <c r="K5" s="3">
        <f t="shared" si="3"/>
        <v>14530112.0118</v>
      </c>
      <c r="L5" s="3">
        <f t="shared" si="4"/>
        <v>384319868.702576</v>
      </c>
      <c r="M5" s="3">
        <f t="shared" si="8"/>
        <v>1538392945.03193</v>
      </c>
      <c r="N5" s="3">
        <f t="shared" si="5"/>
        <v>53563221.4081775</v>
      </c>
      <c r="O5" s="3">
        <f t="shared" si="6"/>
        <v>1416741330.15356</v>
      </c>
      <c r="P5" s="3">
        <f t="shared" si="7"/>
        <v>417320340.745305</v>
      </c>
      <c r="Q5">
        <v>1</v>
      </c>
      <c r="R5">
        <v>4</v>
      </c>
      <c r="S5">
        <f>GDP!K18</f>
        <v>23567.695348</v>
      </c>
      <c r="U5" s="4" t="s">
        <v>37</v>
      </c>
      <c r="V5">
        <f t="shared" si="9"/>
        <v>-1.75343683292632</v>
      </c>
      <c r="X5" s="1">
        <f t="shared" si="10"/>
        <v>5703.08539903941</v>
      </c>
    </row>
    <row r="6" spans="1:24">
      <c r="A6" t="s">
        <v>38</v>
      </c>
      <c r="B6" s="3">
        <f>-CO2排放量!K19*100</f>
        <v>-16164.68814</v>
      </c>
      <c r="C6" s="3">
        <f>就业人口!K19</f>
        <v>1361.51</v>
      </c>
      <c r="D6" s="3">
        <f>资本存量!K19</f>
        <v>39005.8703713327</v>
      </c>
      <c r="E6" s="3">
        <f>能源消耗量!L19</f>
        <v>10930.53</v>
      </c>
      <c r="F6" s="3">
        <f t="shared" si="0"/>
        <v>41288.13814</v>
      </c>
      <c r="G6" s="3">
        <f t="shared" si="1"/>
        <v>1853709.4801</v>
      </c>
      <c r="H6" s="3">
        <f t="shared" si="1"/>
        <v>1521457923.42521</v>
      </c>
      <c r="I6" s="3">
        <f t="shared" si="1"/>
        <v>119476486.0809</v>
      </c>
      <c r="J6" s="3">
        <f t="shared" si="2"/>
        <v>53106882.5692732</v>
      </c>
      <c r="K6" s="3">
        <f t="shared" si="3"/>
        <v>14882025.9003</v>
      </c>
      <c r="L6" s="3">
        <f t="shared" si="4"/>
        <v>426354836.269964</v>
      </c>
      <c r="M6" s="3">
        <f t="shared" si="8"/>
        <v>1704710351.06772</v>
      </c>
      <c r="N6" s="3">
        <f t="shared" si="5"/>
        <v>56214212.9589914</v>
      </c>
      <c r="O6" s="3">
        <f t="shared" si="6"/>
        <v>1610479764.16252</v>
      </c>
      <c r="P6" s="3">
        <f t="shared" si="7"/>
        <v>451301232.583414</v>
      </c>
      <c r="Q6">
        <v>1</v>
      </c>
      <c r="R6">
        <v>5</v>
      </c>
      <c r="S6">
        <f>GDP!K19</f>
        <v>25123.45</v>
      </c>
      <c r="U6">
        <f>U4</f>
        <v>-3.2e-5</v>
      </c>
      <c r="V6">
        <f t="shared" si="9"/>
        <v>-1.74847435069131</v>
      </c>
      <c r="X6" s="1">
        <f t="shared" si="10"/>
        <v>5719.27177315825</v>
      </c>
    </row>
    <row r="7" spans="1:24">
      <c r="A7" t="s">
        <v>39</v>
      </c>
      <c r="B7" s="3">
        <f>-CO2排放量!K20*100</f>
        <v>-15822.5226386667</v>
      </c>
      <c r="C7" s="3">
        <f>就业人口!K20</f>
        <v>1365.24</v>
      </c>
      <c r="D7" s="3">
        <f>资本存量!K20</f>
        <v>42017.1868156848</v>
      </c>
      <c r="E7" s="3">
        <f>能源消耗量!L20</f>
        <v>11241.73</v>
      </c>
      <c r="F7" s="3">
        <f t="shared" si="0"/>
        <v>44001.1726386667</v>
      </c>
      <c r="G7" s="3">
        <f t="shared" si="1"/>
        <v>1863880.2576</v>
      </c>
      <c r="H7" s="3">
        <f t="shared" si="1"/>
        <v>1765443987.90416</v>
      </c>
      <c r="I7" s="3">
        <f t="shared" si="1"/>
        <v>126376493.3929</v>
      </c>
      <c r="J7" s="3">
        <f t="shared" si="2"/>
        <v>57363544.1282455</v>
      </c>
      <c r="K7" s="3">
        <f t="shared" si="3"/>
        <v>15347659.4652</v>
      </c>
      <c r="L7" s="3">
        <f t="shared" si="4"/>
        <v>472345869.541488</v>
      </c>
      <c r="M7" s="3">
        <f t="shared" si="8"/>
        <v>1936103193.57775</v>
      </c>
      <c r="N7" s="3">
        <f t="shared" si="5"/>
        <v>60072160.9332133</v>
      </c>
      <c r="O7" s="3">
        <f t="shared" si="6"/>
        <v>1848805490.86806</v>
      </c>
      <c r="P7" s="3">
        <f t="shared" si="7"/>
        <v>494649302.487278</v>
      </c>
      <c r="Q7">
        <v>1</v>
      </c>
      <c r="R7">
        <v>6</v>
      </c>
      <c r="S7">
        <f>GDP!K20</f>
        <v>28178.65</v>
      </c>
      <c r="U7" s="4" t="s">
        <v>40</v>
      </c>
      <c r="V7">
        <f t="shared" si="9"/>
        <v>-1.7511533781646</v>
      </c>
      <c r="X7" s="1">
        <f t="shared" si="10"/>
        <v>5710.52206202583</v>
      </c>
    </row>
    <row r="8" spans="1:24">
      <c r="A8" t="s">
        <v>41</v>
      </c>
      <c r="B8" s="3">
        <f>-CO2排放量!K21*100</f>
        <v>-15657.8049833333</v>
      </c>
      <c r="C8" s="3">
        <f>就业人口!K21</f>
        <v>1372.65</v>
      </c>
      <c r="D8" s="3">
        <f>资本存量!K21</f>
        <v>45230.136881379</v>
      </c>
      <c r="E8" s="3">
        <f>能源消耗量!L21</f>
        <v>11381.85</v>
      </c>
      <c r="F8" s="3">
        <f t="shared" si="0"/>
        <v>46290.7949833333</v>
      </c>
      <c r="G8" s="3">
        <f t="shared" si="1"/>
        <v>1884168.0225</v>
      </c>
      <c r="H8" s="3">
        <f t="shared" si="1"/>
        <v>2045765282.30828</v>
      </c>
      <c r="I8" s="3">
        <f t="shared" si="1"/>
        <v>129546509.4225</v>
      </c>
      <c r="J8" s="3">
        <f t="shared" si="2"/>
        <v>62085147.390225</v>
      </c>
      <c r="K8" s="3">
        <f t="shared" si="3"/>
        <v>15623296.4025</v>
      </c>
      <c r="L8" s="3">
        <f t="shared" si="4"/>
        <v>514802633.463324</v>
      </c>
      <c r="M8" s="3">
        <f t="shared" si="8"/>
        <v>2142837700.189</v>
      </c>
      <c r="N8" s="3">
        <f t="shared" si="5"/>
        <v>63541059.7338725</v>
      </c>
      <c r="O8" s="3">
        <f t="shared" si="6"/>
        <v>2093738993.44402</v>
      </c>
      <c r="P8" s="3">
        <f t="shared" si="7"/>
        <v>526874884.881053</v>
      </c>
      <c r="Q8">
        <v>1</v>
      </c>
      <c r="R8">
        <v>7</v>
      </c>
      <c r="S8">
        <f>GDP!K21</f>
        <v>30632.99</v>
      </c>
      <c r="U8">
        <f>0.0002995</f>
        <v>0.0002995</v>
      </c>
      <c r="V8">
        <f t="shared" si="9"/>
        <v>-1.7630052118287</v>
      </c>
      <c r="X8" s="1">
        <f t="shared" si="10"/>
        <v>5672.13297663899</v>
      </c>
    </row>
    <row r="9" spans="1:24">
      <c r="A9" t="s">
        <v>42</v>
      </c>
      <c r="B9" s="3">
        <f>-CO2排放量!K22*100</f>
        <v>-15147.447972</v>
      </c>
      <c r="C9" s="3">
        <f>就业人口!K22</f>
        <v>1375.66</v>
      </c>
      <c r="D9" s="3">
        <f>资本存量!K22</f>
        <v>48511.4669407667</v>
      </c>
      <c r="E9" s="3">
        <f>能源消耗量!L22</f>
        <v>11453.73</v>
      </c>
      <c r="F9" s="3">
        <f t="shared" si="0"/>
        <v>51159.267972</v>
      </c>
      <c r="G9" s="3">
        <f t="shared" si="1"/>
        <v>1892440.4356</v>
      </c>
      <c r="H9" s="3">
        <f t="shared" si="1"/>
        <v>2353362424.7451</v>
      </c>
      <c r="I9" s="3">
        <f t="shared" si="1"/>
        <v>131187930.9129</v>
      </c>
      <c r="J9" s="3">
        <f t="shared" si="2"/>
        <v>66735284.6117351</v>
      </c>
      <c r="K9" s="3">
        <f t="shared" si="3"/>
        <v>15756438.2118</v>
      </c>
      <c r="L9" s="3">
        <f t="shared" si="4"/>
        <v>555637244.243467</v>
      </c>
      <c r="M9" s="3">
        <f t="shared" si="8"/>
        <v>2617270699.43091</v>
      </c>
      <c r="N9" s="3">
        <f t="shared" si="5"/>
        <v>70377758.5783615</v>
      </c>
      <c r="O9" s="3">
        <f t="shared" si="6"/>
        <v>2481811136.9375</v>
      </c>
      <c r="P9" s="3">
        <f t="shared" si="7"/>
        <v>585964442.348936</v>
      </c>
      <c r="Q9">
        <v>1</v>
      </c>
      <c r="R9">
        <v>8</v>
      </c>
      <c r="S9">
        <f>GDP!K22</f>
        <v>36011.82</v>
      </c>
      <c r="U9" s="4" t="s">
        <v>43</v>
      </c>
      <c r="V9">
        <f t="shared" si="9"/>
        <v>-1.83765783127112</v>
      </c>
      <c r="X9" s="1">
        <f t="shared" si="10"/>
        <v>5441.7094574581</v>
      </c>
    </row>
    <row r="10" spans="1:24">
      <c r="A10" t="s">
        <v>44</v>
      </c>
      <c r="B10" s="3">
        <f>-CO2排放量!K23*100</f>
        <v>-15949.7303606667</v>
      </c>
      <c r="C10" s="3">
        <f>就业人口!K23</f>
        <v>1376.2</v>
      </c>
      <c r="D10" s="3">
        <f>资本存量!K23</f>
        <v>51866.5838976531</v>
      </c>
      <c r="E10" s="3">
        <f>能源消耗量!L23</f>
        <v>11696.46</v>
      </c>
      <c r="F10" s="3">
        <f t="shared" si="0"/>
        <v>54105.0503606667</v>
      </c>
      <c r="G10" s="3">
        <f t="shared" si="1"/>
        <v>1893926.44</v>
      </c>
      <c r="H10" s="3">
        <f t="shared" si="1"/>
        <v>2690142525.21229</v>
      </c>
      <c r="I10" s="3">
        <f t="shared" si="1"/>
        <v>136807176.5316</v>
      </c>
      <c r="J10" s="3">
        <f t="shared" si="2"/>
        <v>71378792.7599502</v>
      </c>
      <c r="K10" s="3">
        <f t="shared" si="3"/>
        <v>16096668.252</v>
      </c>
      <c r="L10" s="3">
        <f t="shared" si="4"/>
        <v>606655423.895543</v>
      </c>
      <c r="M10" s="3">
        <f t="shared" si="8"/>
        <v>2927356474.53028</v>
      </c>
      <c r="N10" s="3">
        <f t="shared" si="5"/>
        <v>74459370.3063495</v>
      </c>
      <c r="O10" s="3">
        <f t="shared" si="6"/>
        <v>2806244133.81826</v>
      </c>
      <c r="P10" s="3">
        <f t="shared" si="7"/>
        <v>632837557.341523</v>
      </c>
      <c r="Q10">
        <v>1</v>
      </c>
      <c r="R10">
        <v>9</v>
      </c>
      <c r="S10">
        <f>GDP!K23</f>
        <v>38155.32</v>
      </c>
      <c r="U10" s="5">
        <v>7.5e-6</v>
      </c>
      <c r="V10">
        <f t="shared" si="9"/>
        <v>-1.85442567289808</v>
      </c>
      <c r="X10" s="1">
        <f t="shared" si="10"/>
        <v>5392.50515464019</v>
      </c>
    </row>
    <row r="11" spans="1:24">
      <c r="A11" t="s">
        <v>45</v>
      </c>
      <c r="B11" s="3">
        <f>-CO2排放量!K24*100</f>
        <v>-15462.6881773333</v>
      </c>
      <c r="C11" s="3">
        <f>就业人口!K24</f>
        <v>1374</v>
      </c>
      <c r="D11" s="3">
        <f>资本存量!K24</f>
        <v>55724.868058348</v>
      </c>
      <c r="E11" s="3">
        <f>能源消耗量!L24</f>
        <v>11099.59</v>
      </c>
      <c r="F11" s="3">
        <f t="shared" si="0"/>
        <v>54163.2681773333</v>
      </c>
      <c r="G11" s="3">
        <f t="shared" si="1"/>
        <v>1887876</v>
      </c>
      <c r="H11" s="3">
        <f t="shared" si="1"/>
        <v>3105260920.12029</v>
      </c>
      <c r="I11" s="3">
        <f t="shared" si="1"/>
        <v>123200898.1681</v>
      </c>
      <c r="J11" s="3">
        <f t="shared" si="2"/>
        <v>76565968.7121701</v>
      </c>
      <c r="K11" s="3">
        <f t="shared" si="3"/>
        <v>15250836.66</v>
      </c>
      <c r="L11" s="3">
        <f t="shared" si="4"/>
        <v>618523188.251759</v>
      </c>
      <c r="M11" s="3">
        <f t="shared" si="8"/>
        <v>2933659619.64973</v>
      </c>
      <c r="N11" s="3">
        <f t="shared" si="5"/>
        <v>74420330.475656</v>
      </c>
      <c r="O11" s="3">
        <f t="shared" si="6"/>
        <v>3018240972.79082</v>
      </c>
      <c r="P11" s="3">
        <f t="shared" si="7"/>
        <v>601190069.828447</v>
      </c>
      <c r="Q11">
        <v>1</v>
      </c>
      <c r="R11">
        <v>10</v>
      </c>
      <c r="S11">
        <f>GDP!K24</f>
        <v>38700.58</v>
      </c>
      <c r="U11" s="4" t="s">
        <v>46</v>
      </c>
      <c r="V11">
        <f t="shared" si="9"/>
        <v>-1.92176182101373</v>
      </c>
      <c r="X11" s="1">
        <f t="shared" si="10"/>
        <v>5203.55846944914</v>
      </c>
    </row>
    <row r="12" spans="1:24">
      <c r="A12" t="s">
        <v>47</v>
      </c>
      <c r="B12" s="3">
        <f>-CO2排放量!K25*100</f>
        <v>-61310.788852</v>
      </c>
      <c r="C12" s="3">
        <f>就业人口!K25</f>
        <v>4758.23</v>
      </c>
      <c r="D12" s="3">
        <f>资本存量!K25</f>
        <v>86020.7968373509</v>
      </c>
      <c r="E12" s="3">
        <f>能源消耗量!L25</f>
        <v>27588.97</v>
      </c>
      <c r="F12" s="3">
        <f t="shared" si="0"/>
        <v>110421.058852</v>
      </c>
      <c r="G12" s="3">
        <f t="shared" si="1"/>
        <v>22640752.7329</v>
      </c>
      <c r="H12" s="3">
        <f t="shared" si="1"/>
        <v>7399577488.5328</v>
      </c>
      <c r="I12" s="3">
        <f t="shared" si="1"/>
        <v>761151265.6609</v>
      </c>
      <c r="J12" s="3">
        <f t="shared" si="2"/>
        <v>409306736.135388</v>
      </c>
      <c r="K12" s="3">
        <f t="shared" si="3"/>
        <v>131274664.7231</v>
      </c>
      <c r="L12" s="3">
        <f t="shared" si="4"/>
        <v>2373225183.32177</v>
      </c>
      <c r="M12" s="3">
        <f t="shared" si="8"/>
        <v>12192810237.9968</v>
      </c>
      <c r="N12" s="3">
        <f t="shared" si="5"/>
        <v>525408794.861352</v>
      </c>
      <c r="O12" s="3">
        <f t="shared" si="6"/>
        <v>9498507470.07306</v>
      </c>
      <c r="P12" s="3">
        <f t="shared" si="7"/>
        <v>3046403280.03606</v>
      </c>
      <c r="Q12">
        <v>2</v>
      </c>
      <c r="R12">
        <v>1</v>
      </c>
      <c r="S12">
        <f>GDP!K25</f>
        <v>49110.27</v>
      </c>
      <c r="U12">
        <v>0.0001875</v>
      </c>
      <c r="V12">
        <f t="shared" si="9"/>
        <v>-1.27645809331861</v>
      </c>
      <c r="X12" s="1">
        <f t="shared" si="10"/>
        <v>7834.17806847179</v>
      </c>
    </row>
    <row r="13" spans="1:24">
      <c r="A13" t="s">
        <v>48</v>
      </c>
      <c r="B13" s="3">
        <f>-CO2排放量!K26*100</f>
        <v>-61998.8585013333</v>
      </c>
      <c r="C13" s="3">
        <f>就业人口!K26</f>
        <v>4759.53</v>
      </c>
      <c r="D13" s="3">
        <f>资本存量!K26</f>
        <v>109469.380340965</v>
      </c>
      <c r="E13" s="3">
        <f>能源消耗量!L26</f>
        <v>28849.84</v>
      </c>
      <c r="F13" s="3">
        <f t="shared" si="0"/>
        <v>116057.078501333</v>
      </c>
      <c r="G13" s="3">
        <f t="shared" si="1"/>
        <v>22653125.8209</v>
      </c>
      <c r="H13" s="3">
        <f t="shared" si="1"/>
        <v>11983545232.2349</v>
      </c>
      <c r="I13" s="3">
        <f t="shared" si="1"/>
        <v>832313268.0256</v>
      </c>
      <c r="J13" s="3">
        <f t="shared" si="2"/>
        <v>521022799.814234</v>
      </c>
      <c r="K13" s="3">
        <f t="shared" si="3"/>
        <v>137311678.9752</v>
      </c>
      <c r="L13" s="3">
        <f t="shared" si="4"/>
        <v>3158174107.73599</v>
      </c>
      <c r="M13" s="3">
        <f t="shared" si="8"/>
        <v>13469245470.2646</v>
      </c>
      <c r="N13" s="3">
        <f t="shared" si="5"/>
        <v>552377146.839451</v>
      </c>
      <c r="O13" s="3">
        <f t="shared" si="6"/>
        <v>12704696467.7237</v>
      </c>
      <c r="P13" s="3">
        <f t="shared" si="7"/>
        <v>3348228145.63091</v>
      </c>
      <c r="Q13">
        <v>2</v>
      </c>
      <c r="R13">
        <v>2</v>
      </c>
      <c r="S13">
        <f>GDP!K26</f>
        <v>54058.22</v>
      </c>
      <c r="U13" s="4" t="s">
        <v>49</v>
      </c>
      <c r="V13">
        <f t="shared" si="9"/>
        <v>-1.25977406575782</v>
      </c>
      <c r="X13" s="1">
        <f t="shared" si="10"/>
        <v>7937.93130991663</v>
      </c>
    </row>
    <row r="14" spans="1:24">
      <c r="A14" t="s">
        <v>50</v>
      </c>
      <c r="B14" s="3">
        <f>-CO2排放量!K27*100</f>
        <v>-63844.0952</v>
      </c>
      <c r="C14" s="3">
        <f>就业人口!K27</f>
        <v>4759.89</v>
      </c>
      <c r="D14" s="3">
        <f>资本存量!K27</f>
        <v>134942.839828233</v>
      </c>
      <c r="E14" s="3">
        <f>能源消耗量!L27</f>
        <v>29205.38</v>
      </c>
      <c r="F14" s="3">
        <f t="shared" si="0"/>
        <v>123597.4652</v>
      </c>
      <c r="G14" s="3">
        <f t="shared" si="1"/>
        <v>22656552.8121</v>
      </c>
      <c r="H14" s="3">
        <f t="shared" si="1"/>
        <v>18209570020.908</v>
      </c>
      <c r="I14" s="3">
        <f t="shared" si="1"/>
        <v>852954220.9444</v>
      </c>
      <c r="J14" s="3">
        <f t="shared" si="2"/>
        <v>642313073.870006</v>
      </c>
      <c r="K14" s="3">
        <f t="shared" si="3"/>
        <v>139014396.2082</v>
      </c>
      <c r="L14" s="3">
        <f t="shared" si="4"/>
        <v>3941056915.46267</v>
      </c>
      <c r="M14" s="3">
        <f t="shared" si="8"/>
        <v>15276333403.8652</v>
      </c>
      <c r="N14" s="3">
        <f t="shared" si="5"/>
        <v>588310338.630828</v>
      </c>
      <c r="O14" s="3">
        <f t="shared" si="6"/>
        <v>16678592949.6592</v>
      </c>
      <c r="P14" s="3">
        <f t="shared" si="7"/>
        <v>3609710938.20278</v>
      </c>
      <c r="Q14">
        <v>2</v>
      </c>
      <c r="R14">
        <v>3</v>
      </c>
      <c r="S14">
        <f>GDP!K27</f>
        <v>59753.37</v>
      </c>
      <c r="U14">
        <v>-0.0925191</v>
      </c>
      <c r="V14">
        <f t="shared" si="9"/>
        <v>-1.25866333895989</v>
      </c>
      <c r="X14" s="1">
        <f t="shared" si="10"/>
        <v>7944.93625933654</v>
      </c>
    </row>
    <row r="15" spans="1:24">
      <c r="A15" t="s">
        <v>51</v>
      </c>
      <c r="B15" s="3">
        <f>-CO2排放量!K28*100</f>
        <v>-62107.1174273333</v>
      </c>
      <c r="C15" s="3">
        <f>就业人口!K28</f>
        <v>4760.83</v>
      </c>
      <c r="D15" s="3">
        <f>资本存量!K28</f>
        <v>163541.077204722</v>
      </c>
      <c r="E15" s="3">
        <f>能源消耗量!L28</f>
        <v>29863.03</v>
      </c>
      <c r="F15" s="3">
        <f t="shared" si="0"/>
        <v>127195.437427333</v>
      </c>
      <c r="G15" s="3">
        <f t="shared" si="1"/>
        <v>22665502.2889</v>
      </c>
      <c r="H15" s="3">
        <f t="shared" si="1"/>
        <v>26745683933.2809</v>
      </c>
      <c r="I15" s="3">
        <f t="shared" si="1"/>
        <v>891800560.7809</v>
      </c>
      <c r="J15" s="3">
        <f t="shared" si="2"/>
        <v>778591266.588558</v>
      </c>
      <c r="K15" s="3">
        <f t="shared" si="3"/>
        <v>142172809.1149</v>
      </c>
      <c r="L15" s="3">
        <f t="shared" si="4"/>
        <v>4883832094.79694</v>
      </c>
      <c r="M15" s="3">
        <f t="shared" si="8"/>
        <v>16178679302.3307</v>
      </c>
      <c r="N15" s="3">
        <f t="shared" si="5"/>
        <v>605555854.367171</v>
      </c>
      <c r="O15" s="3">
        <f t="shared" si="6"/>
        <v>20801678852.3919</v>
      </c>
      <c r="P15" s="3">
        <f t="shared" si="7"/>
        <v>3798441163.75558</v>
      </c>
      <c r="Q15">
        <v>2</v>
      </c>
      <c r="R15">
        <v>4</v>
      </c>
      <c r="S15">
        <f>GDP!K28</f>
        <v>65088.32</v>
      </c>
      <c r="U15" s="4" t="s">
        <v>52</v>
      </c>
      <c r="V15">
        <f t="shared" si="9"/>
        <v>-1.2445602648981</v>
      </c>
      <c r="X15" s="1">
        <f t="shared" si="10"/>
        <v>8034.96647132535</v>
      </c>
    </row>
    <row r="16" spans="1:24">
      <c r="A16" t="s">
        <v>53</v>
      </c>
      <c r="B16" s="3">
        <f>-CO2排放量!K29*100</f>
        <v>-63416.123836</v>
      </c>
      <c r="C16" s="3">
        <f>就业人口!K29</f>
        <v>4758.5</v>
      </c>
      <c r="D16" s="3">
        <f>资本存量!K29</f>
        <v>193746.303793069</v>
      </c>
      <c r="E16" s="3">
        <f>能源消耗量!L29</f>
        <v>30374.14</v>
      </c>
      <c r="F16" s="3">
        <f t="shared" si="0"/>
        <v>133532.503836</v>
      </c>
      <c r="G16" s="3">
        <f t="shared" si="1"/>
        <v>22643322.25</v>
      </c>
      <c r="H16" s="3">
        <f t="shared" si="1"/>
        <v>37537630233.4762</v>
      </c>
      <c r="I16" s="3">
        <f t="shared" si="1"/>
        <v>922588380.7396</v>
      </c>
      <c r="J16" s="3">
        <f t="shared" si="2"/>
        <v>921941786.599318</v>
      </c>
      <c r="K16" s="3">
        <f t="shared" si="3"/>
        <v>144535345.19</v>
      </c>
      <c r="L16" s="3">
        <f t="shared" si="4"/>
        <v>5884877355.89321</v>
      </c>
      <c r="M16" s="3">
        <f t="shared" si="8"/>
        <v>17830929580.7114</v>
      </c>
      <c r="N16" s="3">
        <f t="shared" si="5"/>
        <v>635414419.503606</v>
      </c>
      <c r="O16" s="3">
        <f t="shared" si="6"/>
        <v>25871429054.4588</v>
      </c>
      <c r="P16" s="3">
        <f t="shared" si="7"/>
        <v>4055934966.0652</v>
      </c>
      <c r="Q16">
        <v>2</v>
      </c>
      <c r="R16">
        <v>5</v>
      </c>
      <c r="S16">
        <f>GDP!K29</f>
        <v>70116.38</v>
      </c>
      <c r="U16">
        <v>-3.2e-5</v>
      </c>
      <c r="V16">
        <f t="shared" si="9"/>
        <v>-1.23765048902858</v>
      </c>
      <c r="X16" s="1">
        <f t="shared" si="10"/>
        <v>8079.82551507645</v>
      </c>
    </row>
    <row r="17" spans="1:24">
      <c r="A17" t="s">
        <v>54</v>
      </c>
      <c r="B17" s="3">
        <f>-CO2排放量!K30*100</f>
        <v>-65311.6844646667</v>
      </c>
      <c r="C17" s="3">
        <f>就业人口!K30</f>
        <v>4756.22</v>
      </c>
      <c r="D17" s="3">
        <f>资本存量!K30</f>
        <v>224517.508628934</v>
      </c>
      <c r="E17" s="3">
        <f>能源消耗量!L30</f>
        <v>31209.71</v>
      </c>
      <c r="F17" s="3">
        <f t="shared" si="0"/>
        <v>142699.964464667</v>
      </c>
      <c r="G17" s="3">
        <f t="shared" si="1"/>
        <v>22621628.6884</v>
      </c>
      <c r="H17" s="3">
        <f t="shared" si="1"/>
        <v>50408111680.9436</v>
      </c>
      <c r="I17" s="3">
        <f t="shared" si="1"/>
        <v>974045998.2841</v>
      </c>
      <c r="J17" s="3">
        <f t="shared" si="2"/>
        <v>1067854664.89111</v>
      </c>
      <c r="K17" s="3">
        <f t="shared" si="3"/>
        <v>148440246.8962</v>
      </c>
      <c r="L17" s="3">
        <f t="shared" si="4"/>
        <v>7007126334.23154</v>
      </c>
      <c r="M17" s="3">
        <f t="shared" si="8"/>
        <v>20363279858.2171</v>
      </c>
      <c r="N17" s="3">
        <f t="shared" si="5"/>
        <v>678712424.986137</v>
      </c>
      <c r="O17" s="3">
        <f t="shared" si="6"/>
        <v>32038640503.0444</v>
      </c>
      <c r="P17" s="3">
        <f t="shared" si="7"/>
        <v>4453624507.95255</v>
      </c>
      <c r="Q17">
        <v>2</v>
      </c>
      <c r="R17">
        <v>6</v>
      </c>
      <c r="S17">
        <f>GDP!K30</f>
        <v>77388.28</v>
      </c>
      <c r="U17" s="4" t="s">
        <v>55</v>
      </c>
      <c r="V17">
        <f t="shared" si="9"/>
        <v>-1.23248937313346</v>
      </c>
      <c r="X17" s="1">
        <f t="shared" si="10"/>
        <v>8113.66022132603</v>
      </c>
    </row>
    <row r="18" spans="1:24">
      <c r="A18" t="s">
        <v>56</v>
      </c>
      <c r="B18" s="3">
        <f>-CO2排放量!K31*100</f>
        <v>-64504.87202</v>
      </c>
      <c r="C18" s="3">
        <f>就业人口!K31</f>
        <v>4757.8</v>
      </c>
      <c r="D18" s="3">
        <f>资本存量!K31</f>
        <v>255964.037800557</v>
      </c>
      <c r="E18" s="3">
        <f>能源消耗量!L31</f>
        <v>31602.09</v>
      </c>
      <c r="F18" s="3">
        <f t="shared" si="0"/>
        <v>150374.63202</v>
      </c>
      <c r="G18" s="3">
        <f t="shared" si="1"/>
        <v>22636660.84</v>
      </c>
      <c r="H18" s="3">
        <f t="shared" si="1"/>
        <v>65517588647.1648</v>
      </c>
      <c r="I18" s="3">
        <f t="shared" si="1"/>
        <v>998692092.3681</v>
      </c>
      <c r="J18" s="3">
        <f t="shared" si="2"/>
        <v>1217825699.04749</v>
      </c>
      <c r="K18" s="3">
        <f t="shared" si="3"/>
        <v>150356423.802</v>
      </c>
      <c r="L18" s="3">
        <f t="shared" si="4"/>
        <v>8088998559.33659</v>
      </c>
      <c r="M18" s="3">
        <f t="shared" si="8"/>
        <v>22612529955.1504</v>
      </c>
      <c r="N18" s="3">
        <f t="shared" si="5"/>
        <v>715452424.224756</v>
      </c>
      <c r="O18" s="3">
        <f t="shared" si="6"/>
        <v>38490497994.6121</v>
      </c>
      <c r="P18" s="3">
        <f t="shared" si="7"/>
        <v>4752152654.81292</v>
      </c>
      <c r="Q18">
        <v>2</v>
      </c>
      <c r="R18">
        <v>7</v>
      </c>
      <c r="S18">
        <f>GDP!K31</f>
        <v>85869.76</v>
      </c>
      <c r="U18">
        <f>U8</f>
        <v>0.0002995</v>
      </c>
      <c r="V18">
        <f t="shared" si="9"/>
        <v>-1.22906485081222</v>
      </c>
      <c r="X18" s="1">
        <f t="shared" si="10"/>
        <v>8136.2671736903</v>
      </c>
    </row>
    <row r="19" spans="1:24">
      <c r="A19" t="s">
        <v>57</v>
      </c>
      <c r="B19" s="3">
        <f>-CO2排放量!K32*100</f>
        <v>-64496.5467726667</v>
      </c>
      <c r="C19" s="3">
        <f>就业人口!K32</f>
        <v>4750.9</v>
      </c>
      <c r="D19" s="3">
        <f>资本存量!K32</f>
        <v>287306.711721703</v>
      </c>
      <c r="E19" s="3">
        <f>能源消耗量!L32</f>
        <v>31635.2</v>
      </c>
      <c r="F19" s="3">
        <f t="shared" si="0"/>
        <v>157704.096772667</v>
      </c>
      <c r="G19" s="3">
        <f t="shared" si="1"/>
        <v>22571050.81</v>
      </c>
      <c r="H19" s="3">
        <f t="shared" si="1"/>
        <v>82545146600.3379</v>
      </c>
      <c r="I19" s="3">
        <f t="shared" si="1"/>
        <v>1000785879.04</v>
      </c>
      <c r="J19" s="3">
        <f t="shared" si="2"/>
        <v>1364965456.71864</v>
      </c>
      <c r="K19" s="3">
        <f t="shared" si="3"/>
        <v>150295671.68</v>
      </c>
      <c r="L19" s="3">
        <f t="shared" si="4"/>
        <v>9089005286.65842</v>
      </c>
      <c r="M19" s="3">
        <f t="shared" si="8"/>
        <v>24870582138.8826</v>
      </c>
      <c r="N19" s="3">
        <f t="shared" si="5"/>
        <v>749236393.357262</v>
      </c>
      <c r="O19" s="3">
        <f t="shared" si="6"/>
        <v>45309445468.7961</v>
      </c>
      <c r="P19" s="3">
        <f t="shared" si="7"/>
        <v>4989000642.22266</v>
      </c>
      <c r="Q19">
        <v>2</v>
      </c>
      <c r="R19">
        <v>8</v>
      </c>
      <c r="S19">
        <f>GDP!K32</f>
        <v>93207.55</v>
      </c>
      <c r="U19" s="4" t="s">
        <v>58</v>
      </c>
      <c r="V19">
        <f t="shared" si="9"/>
        <v>-1.22882013952594</v>
      </c>
      <c r="X19" s="1">
        <f t="shared" si="10"/>
        <v>8137.88745670938</v>
      </c>
    </row>
    <row r="20" spans="1:24">
      <c r="A20" t="s">
        <v>59</v>
      </c>
      <c r="B20" s="3">
        <f>-CO2排放量!K33*100</f>
        <v>-63658.2048586667</v>
      </c>
      <c r="C20" s="3">
        <f>就业人口!K33</f>
        <v>4745.2</v>
      </c>
      <c r="D20" s="3">
        <f>资本存量!K33</f>
        <v>318492.16524547</v>
      </c>
      <c r="E20" s="3">
        <f>能源消耗量!L33</f>
        <v>32525.97</v>
      </c>
      <c r="F20" s="3">
        <f t="shared" si="0"/>
        <v>163289.724858667</v>
      </c>
      <c r="G20" s="3">
        <f t="shared" si="1"/>
        <v>22516923.04</v>
      </c>
      <c r="H20" s="3">
        <f t="shared" si="1"/>
        <v>101437259322.748</v>
      </c>
      <c r="I20" s="3">
        <f t="shared" si="1"/>
        <v>1057938724.4409</v>
      </c>
      <c r="J20" s="3">
        <f t="shared" si="2"/>
        <v>1511309022.5228</v>
      </c>
      <c r="K20" s="3">
        <f t="shared" si="3"/>
        <v>154342232.844</v>
      </c>
      <c r="L20" s="3">
        <f t="shared" si="4"/>
        <v>10359266612.0092</v>
      </c>
      <c r="M20" s="3">
        <f t="shared" si="8"/>
        <v>26663534244.4191</v>
      </c>
      <c r="N20" s="3">
        <f t="shared" si="5"/>
        <v>774842402.399345</v>
      </c>
      <c r="O20" s="3">
        <f t="shared" si="6"/>
        <v>52006498032.5737</v>
      </c>
      <c r="P20" s="3">
        <f t="shared" si="7"/>
        <v>5311156692.06125</v>
      </c>
      <c r="Q20">
        <v>2</v>
      </c>
      <c r="R20">
        <v>9</v>
      </c>
      <c r="S20">
        <f>GDP!K33</f>
        <v>99631.52</v>
      </c>
      <c r="U20" s="5">
        <f>U10</f>
        <v>7.5e-6</v>
      </c>
      <c r="V20">
        <f t="shared" si="9"/>
        <v>-1.2178313369616</v>
      </c>
      <c r="X20" s="1">
        <f t="shared" si="10"/>
        <v>8211.31768948341</v>
      </c>
    </row>
    <row r="21" spans="1:24">
      <c r="A21" t="s">
        <v>60</v>
      </c>
      <c r="B21" s="3">
        <f>-CO2排放量!K34*100</f>
        <v>-62806.2528133333</v>
      </c>
      <c r="C21" s="3">
        <f>就业人口!K34</f>
        <v>4893</v>
      </c>
      <c r="D21" s="3">
        <f>资本存量!K34</f>
        <v>346860.115924502</v>
      </c>
      <c r="E21" s="3">
        <f>能源消耗量!L34</f>
        <v>32672.49</v>
      </c>
      <c r="F21" s="3">
        <f t="shared" si="0"/>
        <v>165525.232813333</v>
      </c>
      <c r="G21" s="3">
        <f t="shared" si="1"/>
        <v>23941449</v>
      </c>
      <c r="H21" s="3">
        <f t="shared" si="1"/>
        <v>120311940019.159</v>
      </c>
      <c r="I21" s="3">
        <f t="shared" si="1"/>
        <v>1067491602.8001</v>
      </c>
      <c r="J21" s="3">
        <f t="shared" si="2"/>
        <v>1697186547.21859</v>
      </c>
      <c r="K21" s="3">
        <f t="shared" si="3"/>
        <v>159866493.57</v>
      </c>
      <c r="L21" s="3">
        <f t="shared" si="4"/>
        <v>11332783668.9421</v>
      </c>
      <c r="M21" s="3">
        <f t="shared" si="8"/>
        <v>27398602697.9082</v>
      </c>
      <c r="N21" s="3">
        <f t="shared" si="5"/>
        <v>809914964.15564</v>
      </c>
      <c r="O21" s="3">
        <f t="shared" si="6"/>
        <v>57414101442.0629</v>
      </c>
      <c r="P21" s="3">
        <f t="shared" si="7"/>
        <v>5408121513.84131</v>
      </c>
      <c r="Q21">
        <v>2</v>
      </c>
      <c r="R21">
        <v>10</v>
      </c>
      <c r="S21">
        <f>GDP!K34</f>
        <v>102718.98</v>
      </c>
      <c r="U21" s="4" t="s">
        <v>61</v>
      </c>
      <c r="V21">
        <f t="shared" si="9"/>
        <v>-1.20817418007826</v>
      </c>
      <c r="X21" s="1">
        <f t="shared" si="10"/>
        <v>8276.95225149756</v>
      </c>
    </row>
    <row r="22" spans="1:24">
      <c r="A22" t="s">
        <v>62</v>
      </c>
      <c r="B22" s="3">
        <f>-CO2排放量!K35*100</f>
        <v>-39862.2661</v>
      </c>
      <c r="C22" s="3">
        <f>就业人口!K35</f>
        <v>3385</v>
      </c>
      <c r="D22" s="3">
        <f>资本存量!K35</f>
        <v>48084.5686998072</v>
      </c>
      <c r="E22" s="3">
        <f>能源消耗量!L35</f>
        <v>17827.27</v>
      </c>
      <c r="F22" s="3">
        <f t="shared" si="0"/>
        <v>72181.1161</v>
      </c>
      <c r="G22" s="3">
        <f t="shared" si="1"/>
        <v>11458225</v>
      </c>
      <c r="H22" s="3">
        <f t="shared" si="1"/>
        <v>2312125747.04648</v>
      </c>
      <c r="I22" s="3">
        <f t="shared" si="1"/>
        <v>317811555.6529</v>
      </c>
      <c r="J22" s="3">
        <f t="shared" si="2"/>
        <v>162766265.048848</v>
      </c>
      <c r="K22" s="3">
        <f t="shared" si="3"/>
        <v>60345308.95</v>
      </c>
      <c r="L22" s="3">
        <f t="shared" si="4"/>
        <v>857216589.045013</v>
      </c>
      <c r="M22" s="3">
        <f t="shared" si="8"/>
        <v>5210113521.44168</v>
      </c>
      <c r="N22" s="3">
        <f t="shared" si="5"/>
        <v>244333077.9985</v>
      </c>
      <c r="O22" s="3">
        <f t="shared" si="6"/>
        <v>3470797835.93921</v>
      </c>
      <c r="P22" s="3">
        <f t="shared" si="7"/>
        <v>1286792245.61605</v>
      </c>
      <c r="Q22">
        <v>3</v>
      </c>
      <c r="R22">
        <v>1</v>
      </c>
      <c r="S22">
        <f>GDP!K35</f>
        <v>32318.85</v>
      </c>
      <c r="U22">
        <f>U12</f>
        <v>0.0001875</v>
      </c>
      <c r="V22">
        <f t="shared" si="9"/>
        <v>-1.43201394868451</v>
      </c>
      <c r="X22" s="1">
        <f t="shared" si="10"/>
        <v>6983.17220246793</v>
      </c>
    </row>
    <row r="23" spans="1:24">
      <c r="A23" t="s">
        <v>63</v>
      </c>
      <c r="B23" s="3">
        <f>-CO2排放量!K36*100</f>
        <v>-38359.3455378</v>
      </c>
      <c r="C23" s="3">
        <f>就业人口!K36</f>
        <v>3407</v>
      </c>
      <c r="D23" s="3">
        <f>资本存量!K36</f>
        <v>60564.4101046258</v>
      </c>
      <c r="E23" s="3">
        <f>能源消耗量!L36</f>
        <v>18076.18</v>
      </c>
      <c r="F23" s="3">
        <f t="shared" si="0"/>
        <v>73024.6755378</v>
      </c>
      <c r="G23" s="3">
        <f t="shared" si="1"/>
        <v>11607649</v>
      </c>
      <c r="H23" s="3">
        <f t="shared" si="1"/>
        <v>3668047771.32129</v>
      </c>
      <c r="I23" s="3">
        <f t="shared" si="1"/>
        <v>326748283.3924</v>
      </c>
      <c r="J23" s="3">
        <f t="shared" si="2"/>
        <v>206342945.22646</v>
      </c>
      <c r="K23" s="3">
        <f t="shared" si="3"/>
        <v>61585545.26</v>
      </c>
      <c r="L23" s="3">
        <f t="shared" si="4"/>
        <v>1094773178.64503</v>
      </c>
      <c r="M23" s="3">
        <f t="shared" si="8"/>
        <v>5332603237.40097</v>
      </c>
      <c r="N23" s="3">
        <f t="shared" si="5"/>
        <v>248795069.557285</v>
      </c>
      <c r="O23" s="3">
        <f t="shared" si="6"/>
        <v>4422696397.02855</v>
      </c>
      <c r="P23" s="3">
        <f t="shared" si="7"/>
        <v>1320007179.46287</v>
      </c>
      <c r="Q23">
        <v>3</v>
      </c>
      <c r="R23">
        <v>2</v>
      </c>
      <c r="S23">
        <f>GDP!K36</f>
        <v>34665.33</v>
      </c>
      <c r="V23">
        <f t="shared" si="9"/>
        <v>-1.41074431407787</v>
      </c>
      <c r="X23" s="1">
        <f t="shared" si="10"/>
        <v>7088.45671055316</v>
      </c>
    </row>
    <row r="24" spans="1:24">
      <c r="A24" t="s">
        <v>64</v>
      </c>
      <c r="B24" s="3">
        <f>-CO2排放量!K37*100</f>
        <v>-38756.0920826667</v>
      </c>
      <c r="C24" s="3">
        <f>就业人口!K37</f>
        <v>3436</v>
      </c>
      <c r="D24" s="3">
        <f>资本存量!K37</f>
        <v>74944.2967345817</v>
      </c>
      <c r="E24" s="3">
        <f>能源消耗量!L37</f>
        <v>18640</v>
      </c>
      <c r="F24" s="3">
        <f t="shared" si="0"/>
        <v>76512.6720826667</v>
      </c>
      <c r="G24" s="3">
        <f t="shared" si="1"/>
        <v>11806096</v>
      </c>
      <c r="H24" s="3">
        <f t="shared" si="1"/>
        <v>5616647613.04103</v>
      </c>
      <c r="I24" s="3">
        <f t="shared" si="1"/>
        <v>347449600</v>
      </c>
      <c r="J24" s="3">
        <f t="shared" si="2"/>
        <v>257508603.580023</v>
      </c>
      <c r="K24" s="3">
        <f t="shared" si="3"/>
        <v>64047040</v>
      </c>
      <c r="L24" s="3">
        <f t="shared" si="4"/>
        <v>1396961691.1326</v>
      </c>
      <c r="M24" s="3">
        <f t="shared" si="8"/>
        <v>5854188989.22968</v>
      </c>
      <c r="N24" s="3">
        <f t="shared" si="5"/>
        <v>262897541.276043</v>
      </c>
      <c r="O24" s="3">
        <f t="shared" si="6"/>
        <v>5734188400.51911</v>
      </c>
      <c r="P24" s="3">
        <f t="shared" si="7"/>
        <v>1426196207.62091</v>
      </c>
      <c r="Q24">
        <v>3</v>
      </c>
      <c r="R24">
        <v>3</v>
      </c>
      <c r="S24">
        <f>GDP!K37</f>
        <v>37756.58</v>
      </c>
      <c r="V24">
        <f t="shared" si="9"/>
        <v>-1.39289031672637</v>
      </c>
      <c r="X24" s="1">
        <f t="shared" si="10"/>
        <v>7179.31618873079</v>
      </c>
    </row>
    <row r="25" spans="1:24">
      <c r="A25" t="s">
        <v>65</v>
      </c>
      <c r="B25" s="3">
        <f>-CO2排放量!K38*100</f>
        <v>-38079.4701654883</v>
      </c>
      <c r="C25" s="3">
        <f>就业人口!K38</f>
        <v>3459</v>
      </c>
      <c r="D25" s="3">
        <f>资本存量!K38</f>
        <v>91304.4042480618</v>
      </c>
      <c r="E25" s="3">
        <f>能源消耗量!L38</f>
        <v>18826</v>
      </c>
      <c r="F25" s="3">
        <f t="shared" si="0"/>
        <v>78252.5001654883</v>
      </c>
      <c r="G25" s="3">
        <f t="shared" si="1"/>
        <v>11964681</v>
      </c>
      <c r="H25" s="3">
        <f t="shared" si="1"/>
        <v>8336494235.09349</v>
      </c>
      <c r="I25" s="3">
        <f t="shared" si="1"/>
        <v>354418276</v>
      </c>
      <c r="J25" s="3">
        <f t="shared" si="2"/>
        <v>315821934.294046</v>
      </c>
      <c r="K25" s="3">
        <f t="shared" si="3"/>
        <v>65119134</v>
      </c>
      <c r="L25" s="3">
        <f t="shared" si="4"/>
        <v>1718896714.37401</v>
      </c>
      <c r="M25" s="3">
        <f t="shared" si="8"/>
        <v>6123453782.14975</v>
      </c>
      <c r="N25" s="3">
        <f t="shared" si="5"/>
        <v>270675398.072424</v>
      </c>
      <c r="O25" s="3">
        <f t="shared" si="6"/>
        <v>7144797908.53127</v>
      </c>
      <c r="P25" s="3">
        <f t="shared" si="7"/>
        <v>1473181568.11548</v>
      </c>
      <c r="Q25">
        <v>3</v>
      </c>
      <c r="R25">
        <v>4</v>
      </c>
      <c r="S25">
        <f>GDP!K38</f>
        <v>40173.03</v>
      </c>
      <c r="V25">
        <f t="shared" si="9"/>
        <v>-1.37678557366047</v>
      </c>
      <c r="X25" s="1">
        <f t="shared" si="10"/>
        <v>7263.29516470232</v>
      </c>
    </row>
    <row r="26" spans="1:24">
      <c r="A26" t="s">
        <v>66</v>
      </c>
      <c r="B26" s="3">
        <f>-CO2排放量!K39*100</f>
        <v>-38150.131998</v>
      </c>
      <c r="C26" s="3">
        <f>就业人口!K39</f>
        <v>3505</v>
      </c>
      <c r="D26" s="3">
        <f>资本存量!K39</f>
        <v>109203.901440248</v>
      </c>
      <c r="E26" s="3">
        <f>能源消耗量!L39</f>
        <v>19610</v>
      </c>
      <c r="F26" s="3">
        <f t="shared" si="0"/>
        <v>81036.621998</v>
      </c>
      <c r="G26" s="3">
        <f t="shared" si="1"/>
        <v>12285025</v>
      </c>
      <c r="H26" s="3">
        <f t="shared" si="1"/>
        <v>11925492089.7714</v>
      </c>
      <c r="I26" s="3">
        <f t="shared" si="1"/>
        <v>384552100</v>
      </c>
      <c r="J26" s="3">
        <f t="shared" si="2"/>
        <v>382759674.548069</v>
      </c>
      <c r="K26" s="3">
        <f t="shared" si="3"/>
        <v>68733050</v>
      </c>
      <c r="L26" s="3">
        <f t="shared" si="4"/>
        <v>2141488507.24326</v>
      </c>
      <c r="M26" s="3">
        <f t="shared" si="8"/>
        <v>6566934104.84674</v>
      </c>
      <c r="N26" s="3">
        <f t="shared" si="5"/>
        <v>284033360.10299</v>
      </c>
      <c r="O26" s="3">
        <f t="shared" si="6"/>
        <v>8849515281.72022</v>
      </c>
      <c r="P26" s="3">
        <f t="shared" si="7"/>
        <v>1589128157.38078</v>
      </c>
      <c r="Q26">
        <v>3</v>
      </c>
      <c r="R26">
        <v>5</v>
      </c>
      <c r="S26">
        <f>GDP!K39</f>
        <v>42886.49</v>
      </c>
      <c r="V26">
        <f t="shared" si="9"/>
        <v>-1.34965514739995</v>
      </c>
      <c r="X26" s="1">
        <f t="shared" si="10"/>
        <v>7409.3000862217</v>
      </c>
    </row>
    <row r="27" spans="1:24">
      <c r="A27" t="s">
        <v>67</v>
      </c>
      <c r="B27" s="3">
        <f>-CO2排放量!K40*100</f>
        <v>-37917.6537352796</v>
      </c>
      <c r="C27" s="3">
        <f>就业人口!K40</f>
        <v>3552</v>
      </c>
      <c r="D27" s="3">
        <f>资本存量!K40</f>
        <v>128291.326901984</v>
      </c>
      <c r="E27" s="3">
        <f>能源消耗量!L40</f>
        <v>20275.6</v>
      </c>
      <c r="F27" s="3">
        <f t="shared" si="0"/>
        <v>85169.0137352796</v>
      </c>
      <c r="G27" s="3">
        <f t="shared" si="1"/>
        <v>12616704</v>
      </c>
      <c r="H27" s="3">
        <f t="shared" si="1"/>
        <v>16458664558.2718</v>
      </c>
      <c r="I27" s="3">
        <f t="shared" si="1"/>
        <v>411099955.36</v>
      </c>
      <c r="J27" s="3">
        <f t="shared" si="2"/>
        <v>455690793.155848</v>
      </c>
      <c r="K27" s="3">
        <f t="shared" si="3"/>
        <v>72018931.2</v>
      </c>
      <c r="L27" s="3">
        <f t="shared" si="4"/>
        <v>2601183627.73387</v>
      </c>
      <c r="M27" s="3">
        <f t="shared" si="8"/>
        <v>7253760900.64025</v>
      </c>
      <c r="N27" s="3">
        <f t="shared" si="5"/>
        <v>302520336.787713</v>
      </c>
      <c r="O27" s="3">
        <f t="shared" si="6"/>
        <v>10926445783.0323</v>
      </c>
      <c r="P27" s="3">
        <f t="shared" si="7"/>
        <v>1726852854.89104</v>
      </c>
      <c r="Q27">
        <v>3</v>
      </c>
      <c r="R27">
        <v>6</v>
      </c>
      <c r="S27">
        <f>GDP!K40</f>
        <v>47251.36</v>
      </c>
      <c r="V27">
        <f t="shared" si="9"/>
        <v>-1.33225280156712</v>
      </c>
      <c r="X27" s="1">
        <f t="shared" si="10"/>
        <v>7506.08292077678</v>
      </c>
    </row>
    <row r="28" spans="1:24">
      <c r="A28" t="s">
        <v>68</v>
      </c>
      <c r="B28" s="3">
        <f>-CO2排放量!K41*100</f>
        <v>-40144.067626407</v>
      </c>
      <c r="C28" s="3">
        <f>就业人口!K41</f>
        <v>3613</v>
      </c>
      <c r="D28" s="3">
        <f>资本存量!K41</f>
        <v>147101.349519394</v>
      </c>
      <c r="E28" s="3">
        <f>能源消耗量!L41</f>
        <v>21030.01</v>
      </c>
      <c r="F28" s="3">
        <f t="shared" si="0"/>
        <v>91912.327626407</v>
      </c>
      <c r="G28" s="3">
        <f t="shared" si="1"/>
        <v>13053769</v>
      </c>
      <c r="H28" s="3">
        <f t="shared" si="1"/>
        <v>21638807030.4268</v>
      </c>
      <c r="I28" s="3">
        <f t="shared" si="1"/>
        <v>442261320.6001</v>
      </c>
      <c r="J28" s="3">
        <f t="shared" si="2"/>
        <v>531477175.813569</v>
      </c>
      <c r="K28" s="3">
        <f t="shared" si="3"/>
        <v>75981426.13</v>
      </c>
      <c r="L28" s="3">
        <f t="shared" si="4"/>
        <v>3093542851.40634</v>
      </c>
      <c r="M28" s="3">
        <f t="shared" si="8"/>
        <v>8447875969.70398</v>
      </c>
      <c r="N28" s="3">
        <f t="shared" si="5"/>
        <v>332079239.714208</v>
      </c>
      <c r="O28" s="3">
        <f t="shared" si="6"/>
        <v>13520427431.3131</v>
      </c>
      <c r="P28" s="3">
        <f t="shared" si="7"/>
        <v>1932917169.10662</v>
      </c>
      <c r="Q28">
        <v>3</v>
      </c>
      <c r="R28">
        <v>7</v>
      </c>
      <c r="S28">
        <f>GDP!K41</f>
        <v>51768.26</v>
      </c>
      <c r="V28">
        <f t="shared" si="9"/>
        <v>-1.32312611202131</v>
      </c>
      <c r="X28" s="1">
        <f t="shared" si="10"/>
        <v>7557.85855115745</v>
      </c>
    </row>
    <row r="29" spans="1:24">
      <c r="A29" t="s">
        <v>69</v>
      </c>
      <c r="B29" s="3">
        <f>-CO2排放量!K42*100</f>
        <v>-40165.882536</v>
      </c>
      <c r="C29" s="3">
        <f>就业人口!K42</f>
        <v>3691</v>
      </c>
      <c r="D29" s="3">
        <f>资本存量!K42</f>
        <v>166315.555255532</v>
      </c>
      <c r="E29" s="3">
        <f>能源消耗量!L42</f>
        <v>21674.56</v>
      </c>
      <c r="F29" s="3">
        <f t="shared" si="0"/>
        <v>98168.882536</v>
      </c>
      <c r="G29" s="3">
        <f t="shared" si="1"/>
        <v>13623481</v>
      </c>
      <c r="H29" s="3">
        <f t="shared" si="1"/>
        <v>27660863919.9559</v>
      </c>
      <c r="I29" s="3">
        <f t="shared" si="1"/>
        <v>469786551.1936</v>
      </c>
      <c r="J29" s="3">
        <f t="shared" si="2"/>
        <v>613870714.448168</v>
      </c>
      <c r="K29" s="3">
        <f t="shared" si="3"/>
        <v>80000800.96</v>
      </c>
      <c r="L29" s="3">
        <f t="shared" si="4"/>
        <v>3604816481.31934</v>
      </c>
      <c r="M29" s="3">
        <f t="shared" si="8"/>
        <v>9637129498.36696</v>
      </c>
      <c r="N29" s="3">
        <f t="shared" si="5"/>
        <v>362341345.440376</v>
      </c>
      <c r="O29" s="3">
        <f t="shared" si="6"/>
        <v>16327012207.7899</v>
      </c>
      <c r="P29" s="3">
        <f t="shared" si="7"/>
        <v>2127767334.65948</v>
      </c>
      <c r="Q29">
        <v>3</v>
      </c>
      <c r="R29">
        <v>8</v>
      </c>
      <c r="S29">
        <f>GDP!K42</f>
        <v>58003</v>
      </c>
      <c r="V29">
        <f t="shared" si="9"/>
        <v>-1.31418108250676</v>
      </c>
      <c r="X29" s="1">
        <f t="shared" si="10"/>
        <v>7609.30143730672</v>
      </c>
    </row>
    <row r="30" spans="1:24">
      <c r="A30" t="s">
        <v>70</v>
      </c>
      <c r="B30" s="3">
        <f>-CO2排放量!K43*100</f>
        <v>-41914.662584</v>
      </c>
      <c r="C30" s="3">
        <f>就业人口!K43</f>
        <v>3771</v>
      </c>
      <c r="D30" s="3">
        <f>资本存量!K43</f>
        <v>187052.126705291</v>
      </c>
      <c r="E30" s="3">
        <f>能源消耗量!L43</f>
        <v>22393</v>
      </c>
      <c r="F30" s="3">
        <f t="shared" si="0"/>
        <v>104266.402584</v>
      </c>
      <c r="G30" s="3">
        <f t="shared" si="1"/>
        <v>14220441</v>
      </c>
      <c r="H30" s="3">
        <f t="shared" si="1"/>
        <v>34988498104.9722</v>
      </c>
      <c r="I30" s="3">
        <f t="shared" si="1"/>
        <v>501446449</v>
      </c>
      <c r="J30" s="3">
        <f t="shared" si="2"/>
        <v>705373569.805652</v>
      </c>
      <c r="K30" s="3">
        <f t="shared" si="3"/>
        <v>84444003</v>
      </c>
      <c r="L30" s="3">
        <f t="shared" si="4"/>
        <v>4188658273.31158</v>
      </c>
      <c r="M30" s="3">
        <f t="shared" si="8"/>
        <v>10871482707.8088</v>
      </c>
      <c r="N30" s="3">
        <f t="shared" si="5"/>
        <v>393188604.144264</v>
      </c>
      <c r="O30" s="3">
        <f t="shared" si="6"/>
        <v>19503252347.2472</v>
      </c>
      <c r="P30" s="3">
        <f t="shared" si="7"/>
        <v>2334837553.06351</v>
      </c>
      <c r="Q30">
        <v>3</v>
      </c>
      <c r="R30">
        <v>9</v>
      </c>
      <c r="S30">
        <f>GDP!K43</f>
        <v>62351.74</v>
      </c>
      <c r="V30">
        <f t="shared" si="9"/>
        <v>-1.30285144010761</v>
      </c>
      <c r="X30" s="1">
        <f t="shared" si="10"/>
        <v>7675.4721928803</v>
      </c>
    </row>
    <row r="31" spans="1:24">
      <c r="A31" t="s">
        <v>71</v>
      </c>
      <c r="B31" s="3">
        <f>-CO2排放量!K44*100</f>
        <v>-45455.4512266667</v>
      </c>
      <c r="C31" s="3">
        <f>就业人口!K44</f>
        <v>3857</v>
      </c>
      <c r="D31" s="3">
        <f>资本存量!K44</f>
        <v>207779.941992605</v>
      </c>
      <c r="E31" s="3">
        <f>能源消耗量!L44</f>
        <v>24660</v>
      </c>
      <c r="F31" s="3">
        <f t="shared" si="0"/>
        <v>110068.791226667</v>
      </c>
      <c r="G31" s="3">
        <f t="shared" si="1"/>
        <v>14876449</v>
      </c>
      <c r="H31" s="3">
        <f t="shared" si="1"/>
        <v>43172504294.4501</v>
      </c>
      <c r="I31" s="3">
        <f t="shared" si="1"/>
        <v>608115600</v>
      </c>
      <c r="J31" s="3">
        <f t="shared" si="2"/>
        <v>801407236.265476</v>
      </c>
      <c r="K31" s="3">
        <f t="shared" si="3"/>
        <v>95113620</v>
      </c>
      <c r="L31" s="3">
        <f t="shared" si="4"/>
        <v>5123853369.53763</v>
      </c>
      <c r="M31" s="3">
        <f t="shared" si="8"/>
        <v>12115138802.0995</v>
      </c>
      <c r="N31" s="3">
        <f t="shared" si="5"/>
        <v>424535327.761253</v>
      </c>
      <c r="O31" s="3">
        <f t="shared" si="6"/>
        <v>22870087056.2729</v>
      </c>
      <c r="P31" s="3">
        <f t="shared" si="7"/>
        <v>2714296391.6496</v>
      </c>
      <c r="Q31">
        <v>3</v>
      </c>
      <c r="R31">
        <v>10</v>
      </c>
      <c r="S31">
        <f>GDP!K44</f>
        <v>64613.34</v>
      </c>
      <c r="V31">
        <f t="shared" si="9"/>
        <v>-1.2686330140753</v>
      </c>
      <c r="X31" s="1">
        <f t="shared" si="10"/>
        <v>7882.50021010916</v>
      </c>
    </row>
    <row r="32" spans="1:24">
      <c r="A32" t="s">
        <v>72</v>
      </c>
      <c r="B32" s="3">
        <f>-CO2排放量!K45*100</f>
        <v>-31538.7194186667</v>
      </c>
      <c r="C32" s="3">
        <f>就业人口!K45</f>
        <v>4120.9</v>
      </c>
      <c r="D32" s="3">
        <f>资本存量!K45</f>
        <v>39588.9178838985</v>
      </c>
      <c r="E32" s="3">
        <f>能源消耗量!L45</f>
        <v>10570.23</v>
      </c>
      <c r="F32" s="3">
        <f t="shared" si="0"/>
        <v>46839.3694186667</v>
      </c>
      <c r="G32" s="3">
        <f t="shared" si="1"/>
        <v>16981816.81</v>
      </c>
      <c r="H32" s="3">
        <f t="shared" si="1"/>
        <v>1567282419.21806</v>
      </c>
      <c r="I32" s="3">
        <f t="shared" si="1"/>
        <v>111729762.2529</v>
      </c>
      <c r="J32" s="3">
        <f t="shared" si="2"/>
        <v>163141971.707757</v>
      </c>
      <c r="K32" s="3">
        <f t="shared" si="3"/>
        <v>43558860.807</v>
      </c>
      <c r="L32" s="3">
        <f t="shared" si="4"/>
        <v>418463967.483921</v>
      </c>
      <c r="M32" s="3">
        <f t="shared" si="8"/>
        <v>2193926527.53833</v>
      </c>
      <c r="N32" s="3">
        <f t="shared" si="5"/>
        <v>193020357.437383</v>
      </c>
      <c r="O32" s="3">
        <f t="shared" si="6"/>
        <v>1854319949.64918</v>
      </c>
      <c r="P32" s="3">
        <f t="shared" si="7"/>
        <v>495102907.810273</v>
      </c>
      <c r="Q32">
        <v>4</v>
      </c>
      <c r="R32">
        <v>1</v>
      </c>
      <c r="S32">
        <f>GDP!K45</f>
        <v>15300.65</v>
      </c>
      <c r="V32">
        <f t="shared" si="9"/>
        <v>-1.52038189181562</v>
      </c>
      <c r="X32" s="1">
        <f t="shared" si="10"/>
        <v>6577.29485850304</v>
      </c>
    </row>
    <row r="33" spans="1:24">
      <c r="A33" t="s">
        <v>73</v>
      </c>
      <c r="B33" s="3">
        <f>-CO2排放量!K46*100</f>
        <v>-35590.6996733333</v>
      </c>
      <c r="C33" s="3">
        <f>就业人口!K46</f>
        <v>4206.8</v>
      </c>
      <c r="D33" s="3">
        <f>资本存量!K46</f>
        <v>50843.3327670443</v>
      </c>
      <c r="E33" s="3">
        <f>能源消耗量!L46</f>
        <v>11357.95</v>
      </c>
      <c r="F33" s="3">
        <f t="shared" si="0"/>
        <v>52802.7502883333</v>
      </c>
      <c r="G33" s="3">
        <f t="shared" si="1"/>
        <v>17697166.24</v>
      </c>
      <c r="H33" s="3">
        <f t="shared" si="1"/>
        <v>2585044486.8604</v>
      </c>
      <c r="I33" s="3">
        <f t="shared" si="1"/>
        <v>129003028.2025</v>
      </c>
      <c r="J33" s="3">
        <f t="shared" si="2"/>
        <v>213887732.284402</v>
      </c>
      <c r="K33" s="3">
        <f t="shared" si="3"/>
        <v>47780624.06</v>
      </c>
      <c r="L33" s="3">
        <f t="shared" si="4"/>
        <v>577476031.401451</v>
      </c>
      <c r="M33" s="3">
        <f t="shared" si="8"/>
        <v>2788130438.01209</v>
      </c>
      <c r="N33" s="3">
        <f t="shared" si="5"/>
        <v>222130609.912961</v>
      </c>
      <c r="O33" s="3">
        <f t="shared" si="6"/>
        <v>2684667803.92487</v>
      </c>
      <c r="P33" s="3">
        <f t="shared" si="7"/>
        <v>599730997.637376</v>
      </c>
      <c r="Q33">
        <v>4</v>
      </c>
      <c r="R33">
        <v>2</v>
      </c>
      <c r="S33">
        <f>GDP!K46</f>
        <v>17212.050615</v>
      </c>
      <c r="V33">
        <f t="shared" si="9"/>
        <v>-1.50284860933147</v>
      </c>
      <c r="X33" s="1">
        <f t="shared" si="10"/>
        <v>6654.03017836134</v>
      </c>
    </row>
    <row r="34" spans="1:24">
      <c r="A34" t="s">
        <v>74</v>
      </c>
      <c r="B34" s="3">
        <f>-CO2排放量!K47*100</f>
        <v>-38718.0040413333</v>
      </c>
      <c r="C34" s="3">
        <f>就业人口!K47</f>
        <v>4275.9</v>
      </c>
      <c r="D34" s="3">
        <f>资本存量!K47</f>
        <v>64213.494021408</v>
      </c>
      <c r="E34" s="3">
        <f>能源消耗量!L47</f>
        <v>12060.36</v>
      </c>
      <c r="F34" s="3">
        <f t="shared" si="0"/>
        <v>57947.3411413333</v>
      </c>
      <c r="G34" s="3">
        <f t="shared" ref="G34:I65" si="11">C34*C34</f>
        <v>18283320.81</v>
      </c>
      <c r="H34" s="3">
        <f t="shared" si="11"/>
        <v>4123372814.4374</v>
      </c>
      <c r="I34" s="3">
        <f t="shared" si="11"/>
        <v>145452283.3296</v>
      </c>
      <c r="J34" s="3">
        <f t="shared" si="2"/>
        <v>274570479.086139</v>
      </c>
      <c r="K34" s="3">
        <f t="shared" si="3"/>
        <v>51568893.324</v>
      </c>
      <c r="L34" s="3">
        <f t="shared" si="4"/>
        <v>774437854.756028</v>
      </c>
      <c r="M34" s="3">
        <f t="shared" si="8"/>
        <v>3357894345.35006</v>
      </c>
      <c r="N34" s="3">
        <f t="shared" si="5"/>
        <v>247777035.986227</v>
      </c>
      <c r="O34" s="3">
        <f t="shared" si="6"/>
        <v>3721001243.9355</v>
      </c>
      <c r="P34" s="3">
        <f t="shared" si="7"/>
        <v>698865795.207291</v>
      </c>
      <c r="Q34">
        <v>4</v>
      </c>
      <c r="R34">
        <v>3</v>
      </c>
      <c r="S34">
        <f>GDP!K47</f>
        <v>19229.3371</v>
      </c>
      <c r="V34">
        <f t="shared" ref="V34:V65" si="12">-($U$2+$U$4*B34*(-1)+$U$8*C34+$U$10*D34+$U$12*E34+$U$6*S34)/($U$14+$U$16*S34+$U$18*C34+$U$20*D34+$U$22*E34+$U$6*B34*(-1))</f>
        <v>-1.48152932048686</v>
      </c>
      <c r="X34" s="1">
        <f t="shared" si="10"/>
        <v>6749.78204056993</v>
      </c>
    </row>
    <row r="35" spans="1:24">
      <c r="A35" t="s">
        <v>75</v>
      </c>
      <c r="B35" s="3">
        <f>-CO2排放量!K48*100</f>
        <v>-40179.524150701</v>
      </c>
      <c r="C35" s="3">
        <f>就业人口!K48</f>
        <v>4311</v>
      </c>
      <c r="D35" s="3">
        <f>资本存量!K48</f>
        <v>79305.2924953529</v>
      </c>
      <c r="E35" s="3">
        <f>能源消耗量!L48</f>
        <v>12011.02</v>
      </c>
      <c r="F35" s="3">
        <f t="shared" si="0"/>
        <v>61028.271751701</v>
      </c>
      <c r="G35" s="3">
        <f t="shared" si="11"/>
        <v>18584721</v>
      </c>
      <c r="H35" s="3">
        <f t="shared" si="11"/>
        <v>6289329417.77347</v>
      </c>
      <c r="I35" s="3">
        <f t="shared" si="11"/>
        <v>144264601.4404</v>
      </c>
      <c r="J35" s="3">
        <f t="shared" si="2"/>
        <v>341885115.947466</v>
      </c>
      <c r="K35" s="3">
        <f t="shared" si="3"/>
        <v>51779507.22</v>
      </c>
      <c r="L35" s="3">
        <f t="shared" si="4"/>
        <v>952537454.267533</v>
      </c>
      <c r="M35" s="3">
        <f t="shared" si="8"/>
        <v>3724449952.99947</v>
      </c>
      <c r="N35" s="3">
        <f t="shared" si="5"/>
        <v>263092879.521583</v>
      </c>
      <c r="O35" s="3">
        <f t="shared" si="6"/>
        <v>4839864941.75453</v>
      </c>
      <c r="P35" s="3">
        <f t="shared" si="7"/>
        <v>733011792.575116</v>
      </c>
      <c r="Q35">
        <v>4</v>
      </c>
      <c r="R35">
        <v>4</v>
      </c>
      <c r="S35">
        <f>GDP!K48</f>
        <v>20848.747601</v>
      </c>
      <c r="V35">
        <f t="shared" si="12"/>
        <v>-1.47787974749594</v>
      </c>
      <c r="X35" s="1">
        <f t="shared" si="10"/>
        <v>6766.4503941837</v>
      </c>
    </row>
    <row r="36" spans="1:24">
      <c r="A36" t="s">
        <v>76</v>
      </c>
      <c r="B36" s="3">
        <f>-CO2排放量!K49*100</f>
        <v>-39284.8295426667</v>
      </c>
      <c r="C36" s="3">
        <f>就业人口!K49</f>
        <v>4342.1</v>
      </c>
      <c r="D36" s="3">
        <f>资本存量!K49</f>
        <v>95657.535915799</v>
      </c>
      <c r="E36" s="3">
        <f>能源消耗量!L49</f>
        <v>12301.23</v>
      </c>
      <c r="F36" s="3">
        <f t="shared" si="0"/>
        <v>61290.4595426667</v>
      </c>
      <c r="G36" s="3">
        <f t="shared" si="11"/>
        <v>18853832.41</v>
      </c>
      <c r="H36" s="3">
        <f t="shared" si="11"/>
        <v>9150364177.48237</v>
      </c>
      <c r="I36" s="3">
        <f t="shared" si="11"/>
        <v>151320259.5129</v>
      </c>
      <c r="J36" s="3">
        <f t="shared" si="2"/>
        <v>415354586.699991</v>
      </c>
      <c r="K36" s="3">
        <f t="shared" si="3"/>
        <v>53413170.783</v>
      </c>
      <c r="L36" s="3">
        <f t="shared" si="4"/>
        <v>1176705350.5335</v>
      </c>
      <c r="M36" s="3">
        <f t="shared" si="8"/>
        <v>3756520430.95126</v>
      </c>
      <c r="N36" s="3">
        <f t="shared" si="5"/>
        <v>266129304.380213</v>
      </c>
      <c r="O36" s="3">
        <f t="shared" si="6"/>
        <v>5862894334.99846</v>
      </c>
      <c r="P36" s="3">
        <f t="shared" si="7"/>
        <v>753948039.640037</v>
      </c>
      <c r="Q36">
        <v>4</v>
      </c>
      <c r="R36">
        <v>5</v>
      </c>
      <c r="S36">
        <f>GDP!K49</f>
        <v>22005.63</v>
      </c>
      <c r="V36">
        <f t="shared" si="12"/>
        <v>-1.44042051034926</v>
      </c>
      <c r="X36" s="1">
        <f t="shared" si="10"/>
        <v>6942.41711233014</v>
      </c>
    </row>
    <row r="37" spans="1:24">
      <c r="A37" t="s">
        <v>77</v>
      </c>
      <c r="B37" s="3">
        <f>-CO2排放量!K50*100</f>
        <v>-38017.7314681809</v>
      </c>
      <c r="C37" s="3">
        <f>就业人口!K50</f>
        <v>4361.6</v>
      </c>
      <c r="D37" s="3">
        <f>资本存量!K50</f>
        <v>113232.523967882</v>
      </c>
      <c r="E37" s="3">
        <f>能源消耗量!L50</f>
        <v>12662.89</v>
      </c>
      <c r="F37" s="3">
        <f t="shared" si="0"/>
        <v>62425.3514681809</v>
      </c>
      <c r="G37" s="3">
        <f t="shared" si="11"/>
        <v>19023554.56</v>
      </c>
      <c r="H37" s="3">
        <f t="shared" si="11"/>
        <v>12821604484.137</v>
      </c>
      <c r="I37" s="3">
        <f t="shared" si="11"/>
        <v>160348783.1521</v>
      </c>
      <c r="J37" s="3">
        <f t="shared" si="2"/>
        <v>493874976.538315</v>
      </c>
      <c r="K37" s="3">
        <f t="shared" si="3"/>
        <v>55230461.024</v>
      </c>
      <c r="L37" s="3">
        <f t="shared" si="4"/>
        <v>1433850995.42766</v>
      </c>
      <c r="M37" s="3">
        <f t="shared" si="8"/>
        <v>3896924505.92591</v>
      </c>
      <c r="N37" s="3">
        <f t="shared" si="5"/>
        <v>272274412.963618</v>
      </c>
      <c r="O37" s="3">
        <f t="shared" si="6"/>
        <v>7068580106.32427</v>
      </c>
      <c r="P37" s="3">
        <f t="shared" si="7"/>
        <v>790485358.852913</v>
      </c>
      <c r="Q37">
        <v>4</v>
      </c>
      <c r="R37">
        <v>6</v>
      </c>
      <c r="S37">
        <f>GDP!K50</f>
        <v>24407.62</v>
      </c>
      <c r="V37">
        <f t="shared" si="12"/>
        <v>-1.40988567891289</v>
      </c>
      <c r="X37" s="1">
        <f t="shared" si="10"/>
        <v>7092.77365503182</v>
      </c>
    </row>
    <row r="38" spans="1:24">
      <c r="A38" t="s">
        <v>78</v>
      </c>
      <c r="B38" s="3">
        <f>-CO2排放量!K51*100</f>
        <v>-39701.6382828369</v>
      </c>
      <c r="C38" s="3">
        <f>就业人口!K51</f>
        <v>4377.9</v>
      </c>
      <c r="D38" s="3">
        <f>资本存量!K51</f>
        <v>131548.158066966</v>
      </c>
      <c r="E38" s="3">
        <f>能源消耗量!L51</f>
        <v>13018.71</v>
      </c>
      <c r="F38" s="3">
        <f t="shared" si="0"/>
        <v>66719.6382828369</v>
      </c>
      <c r="G38" s="3">
        <f t="shared" si="11"/>
        <v>19166008.41</v>
      </c>
      <c r="H38" s="3">
        <f t="shared" si="11"/>
        <v>17304917890.8114</v>
      </c>
      <c r="I38" s="3">
        <f t="shared" si="11"/>
        <v>169486810.0641</v>
      </c>
      <c r="J38" s="3">
        <f t="shared" si="2"/>
        <v>575904681.201369</v>
      </c>
      <c r="K38" s="3">
        <f t="shared" si="3"/>
        <v>56994610.509</v>
      </c>
      <c r="L38" s="3">
        <f t="shared" si="4"/>
        <v>1712587320.90799</v>
      </c>
      <c r="M38" s="3">
        <f t="shared" si="8"/>
        <v>4451510132.5926</v>
      </c>
      <c r="N38" s="3">
        <f t="shared" si="5"/>
        <v>292091904.438432</v>
      </c>
      <c r="O38" s="3">
        <f t="shared" si="6"/>
        <v>8776845523.0014</v>
      </c>
      <c r="P38" s="3">
        <f t="shared" si="7"/>
        <v>868603622.109152</v>
      </c>
      <c r="Q38">
        <v>4</v>
      </c>
      <c r="R38">
        <v>7</v>
      </c>
      <c r="S38">
        <f>GDP!K51</f>
        <v>27018</v>
      </c>
      <c r="V38">
        <f t="shared" si="12"/>
        <v>-1.39820761409722</v>
      </c>
      <c r="X38" s="1">
        <f t="shared" si="10"/>
        <v>7152.01369179834</v>
      </c>
    </row>
    <row r="39" spans="1:24">
      <c r="A39" t="s">
        <v>79</v>
      </c>
      <c r="B39" s="3">
        <f>-CO2排放量!K52*100</f>
        <v>-39242.8504106667</v>
      </c>
      <c r="C39" s="3">
        <f>就业人口!K52</f>
        <v>4385.3</v>
      </c>
      <c r="D39" s="3">
        <f>资本存量!K52</f>
        <v>151549.434147737</v>
      </c>
      <c r="E39" s="3">
        <f>能源消耗量!L52</f>
        <v>13294.71</v>
      </c>
      <c r="F39" s="3">
        <f t="shared" si="0"/>
        <v>73253.7504106667</v>
      </c>
      <c r="G39" s="3">
        <f t="shared" si="11"/>
        <v>19230856.09</v>
      </c>
      <c r="H39" s="3">
        <f t="shared" si="11"/>
        <v>22967230990.4992</v>
      </c>
      <c r="I39" s="3">
        <f t="shared" si="11"/>
        <v>176749313.9841</v>
      </c>
      <c r="J39" s="3">
        <f t="shared" si="2"/>
        <v>664589733.568071</v>
      </c>
      <c r="K39" s="3">
        <f t="shared" si="3"/>
        <v>58301291.763</v>
      </c>
      <c r="L39" s="3">
        <f t="shared" si="4"/>
        <v>2014805777.65826</v>
      </c>
      <c r="M39" s="3">
        <f t="shared" si="8"/>
        <v>5366111949.22825</v>
      </c>
      <c r="N39" s="3">
        <f t="shared" si="5"/>
        <v>321239671.675896</v>
      </c>
      <c r="O39" s="3">
        <f t="shared" si="6"/>
        <v>11101564423.9361</v>
      </c>
      <c r="P39" s="3">
        <f t="shared" si="7"/>
        <v>973887368.122194</v>
      </c>
      <c r="Q39">
        <v>4</v>
      </c>
      <c r="R39">
        <v>8</v>
      </c>
      <c r="S39">
        <f>GDP!K52</f>
        <v>34010.9</v>
      </c>
      <c r="V39">
        <f t="shared" si="12"/>
        <v>-1.39902046573227</v>
      </c>
      <c r="X39" s="1">
        <f t="shared" si="10"/>
        <v>7147.85826579444</v>
      </c>
    </row>
    <row r="40" spans="1:24">
      <c r="A40" t="s">
        <v>80</v>
      </c>
      <c r="B40" s="3">
        <f>-CO2排放量!K53*100</f>
        <v>-39896.2470933333</v>
      </c>
      <c r="C40" s="3">
        <f>就业人口!K53</f>
        <v>4384</v>
      </c>
      <c r="D40" s="3">
        <f>资本存量!K53</f>
        <v>172632.538456233</v>
      </c>
      <c r="E40" s="3">
        <f>能源消耗量!L53</f>
        <v>13869.73</v>
      </c>
      <c r="F40" s="3">
        <f t="shared" si="0"/>
        <v>77010.2270933333</v>
      </c>
      <c r="G40" s="3">
        <f t="shared" si="11"/>
        <v>19219456</v>
      </c>
      <c r="H40" s="3">
        <f t="shared" si="11"/>
        <v>29801993333.8426</v>
      </c>
      <c r="I40" s="3">
        <f t="shared" si="11"/>
        <v>192369410.2729</v>
      </c>
      <c r="J40" s="3">
        <f t="shared" si="2"/>
        <v>756821048.592124</v>
      </c>
      <c r="K40" s="3">
        <f t="shared" si="3"/>
        <v>60804896.32</v>
      </c>
      <c r="L40" s="3">
        <f t="shared" si="4"/>
        <v>2394366697.60256</v>
      </c>
      <c r="M40" s="3">
        <f t="shared" si="8"/>
        <v>5930575076.96677</v>
      </c>
      <c r="N40" s="3">
        <f t="shared" si="5"/>
        <v>337612835.577173</v>
      </c>
      <c r="O40" s="3">
        <f t="shared" si="6"/>
        <v>13294470990.2131</v>
      </c>
      <c r="P40" s="3">
        <f t="shared" si="7"/>
        <v>1068111057.02322</v>
      </c>
      <c r="Q40">
        <v>4</v>
      </c>
      <c r="R40">
        <v>9</v>
      </c>
      <c r="S40">
        <f>GDP!K53</f>
        <v>37113.98</v>
      </c>
      <c r="V40">
        <f t="shared" si="12"/>
        <v>-1.37714785044093</v>
      </c>
      <c r="X40" s="1">
        <f t="shared" si="10"/>
        <v>7261.38445977188</v>
      </c>
    </row>
    <row r="41" spans="1:24">
      <c r="A41" t="s">
        <v>81</v>
      </c>
      <c r="B41" s="3">
        <f>-CO2排放量!K54*100</f>
        <v>-39717.0869933333</v>
      </c>
      <c r="C41" s="3">
        <f>就业人口!K54</f>
        <v>3243</v>
      </c>
      <c r="D41" s="3">
        <f>资本存量!K54</f>
        <v>193508.889100433</v>
      </c>
      <c r="E41" s="3">
        <f>能源消耗量!L54</f>
        <v>14697.9</v>
      </c>
      <c r="F41" s="3">
        <f t="shared" si="0"/>
        <v>78397.7169933333</v>
      </c>
      <c r="G41" s="3">
        <f t="shared" si="11"/>
        <v>10517049</v>
      </c>
      <c r="H41" s="3">
        <f t="shared" si="11"/>
        <v>37445690160.8838</v>
      </c>
      <c r="I41" s="3">
        <f t="shared" si="11"/>
        <v>216028264.41</v>
      </c>
      <c r="J41" s="3">
        <f t="shared" si="2"/>
        <v>627549327.352705</v>
      </c>
      <c r="K41" s="3">
        <f t="shared" si="3"/>
        <v>47665289.7</v>
      </c>
      <c r="L41" s="3">
        <f t="shared" si="4"/>
        <v>2844174301.10926</v>
      </c>
      <c r="M41" s="3">
        <f t="shared" si="8"/>
        <v>6146202029.76679</v>
      </c>
      <c r="N41" s="3">
        <f t="shared" si="5"/>
        <v>254243796.20938</v>
      </c>
      <c r="O41" s="3">
        <f t="shared" si="6"/>
        <v>15170655123.3901</v>
      </c>
      <c r="P41" s="3">
        <f t="shared" si="7"/>
        <v>1152281804.59631</v>
      </c>
      <c r="Q41">
        <v>4</v>
      </c>
      <c r="R41">
        <v>10</v>
      </c>
      <c r="S41">
        <f>GDP!K54</f>
        <v>38680.63</v>
      </c>
      <c r="V41">
        <f t="shared" si="12"/>
        <v>-1.38801719486829</v>
      </c>
      <c r="X41" s="1">
        <f t="shared" si="10"/>
        <v>7204.52169971059</v>
      </c>
    </row>
    <row r="42" spans="1:24">
      <c r="A42" t="s">
        <v>82</v>
      </c>
      <c r="B42" s="3">
        <f>-CO2排放量!K55*100</f>
        <v>-74051.6009926666</v>
      </c>
      <c r="C42" s="3">
        <f>就业人口!K55</f>
        <v>1388</v>
      </c>
      <c r="D42" s="3">
        <f>资本存量!K55</f>
        <v>33951.8533862881</v>
      </c>
      <c r="E42" s="3">
        <f>能源消耗量!L55</f>
        <v>16140.03</v>
      </c>
      <c r="F42" s="3">
        <f t="shared" si="0"/>
        <v>88411.4809926666</v>
      </c>
      <c r="G42" s="3">
        <f t="shared" si="11"/>
        <v>1926544</v>
      </c>
      <c r="H42" s="3">
        <f t="shared" si="11"/>
        <v>1152728348.364</v>
      </c>
      <c r="I42" s="3">
        <f t="shared" si="11"/>
        <v>260500568.4009</v>
      </c>
      <c r="J42" s="3">
        <f t="shared" si="2"/>
        <v>47125172.5001679</v>
      </c>
      <c r="K42" s="3">
        <f t="shared" si="3"/>
        <v>22402361.64</v>
      </c>
      <c r="L42" s="3">
        <f t="shared" si="4"/>
        <v>547983932.210291</v>
      </c>
      <c r="M42" s="3">
        <f t="shared" si="8"/>
        <v>7816589971.31665</v>
      </c>
      <c r="N42" s="3">
        <f t="shared" si="5"/>
        <v>122715135.617821</v>
      </c>
      <c r="O42" s="3">
        <f t="shared" si="6"/>
        <v>3001733640.32761</v>
      </c>
      <c r="P42" s="3">
        <f t="shared" si="7"/>
        <v>1426963955.56607</v>
      </c>
      <c r="Q42">
        <v>5</v>
      </c>
      <c r="R42">
        <v>1</v>
      </c>
      <c r="S42">
        <f>GDP!K55</f>
        <v>14359.88</v>
      </c>
      <c r="V42">
        <f t="shared" si="12"/>
        <v>-2.29046572471175</v>
      </c>
      <c r="X42" s="1">
        <f t="shared" si="10"/>
        <v>4365.92431491569</v>
      </c>
    </row>
    <row r="43" spans="1:24">
      <c r="A43" t="s">
        <v>83</v>
      </c>
      <c r="B43" s="3">
        <f>-CO2排放量!K56*100</f>
        <v>-78869.1673836333</v>
      </c>
      <c r="C43" s="3">
        <f>就业人口!K56</f>
        <v>1379</v>
      </c>
      <c r="D43" s="3">
        <f>资本存量!K56</f>
        <v>42568.2154612044</v>
      </c>
      <c r="E43" s="3">
        <f>能源消耗量!L56</f>
        <v>16912.92</v>
      </c>
      <c r="F43" s="3">
        <f t="shared" si="0"/>
        <v>94749.7462276333</v>
      </c>
      <c r="G43" s="3">
        <f t="shared" si="11"/>
        <v>1901641</v>
      </c>
      <c r="H43" s="3">
        <f t="shared" si="11"/>
        <v>1812052967.55152</v>
      </c>
      <c r="I43" s="3">
        <f t="shared" si="11"/>
        <v>286046862.9264</v>
      </c>
      <c r="J43" s="3">
        <f t="shared" si="2"/>
        <v>58701569.1210009</v>
      </c>
      <c r="K43" s="3">
        <f t="shared" si="3"/>
        <v>23322916.68</v>
      </c>
      <c r="L43" s="3">
        <f t="shared" si="4"/>
        <v>719952822.638114</v>
      </c>
      <c r="M43" s="3">
        <f t="shared" si="8"/>
        <v>8977514410.20092</v>
      </c>
      <c r="N43" s="3">
        <f t="shared" si="5"/>
        <v>130659900.047906</v>
      </c>
      <c r="O43" s="3">
        <f t="shared" si="6"/>
        <v>4033327612.31234</v>
      </c>
      <c r="P43" s="3">
        <f t="shared" si="7"/>
        <v>1602494877.96826</v>
      </c>
      <c r="Q43">
        <v>5</v>
      </c>
      <c r="R43">
        <v>2</v>
      </c>
      <c r="S43">
        <f>GDP!K56</f>
        <v>15880.578844</v>
      </c>
      <c r="V43">
        <f t="shared" si="12"/>
        <v>-2.28380641548484</v>
      </c>
      <c r="X43" s="1">
        <f t="shared" si="10"/>
        <v>4378.65483352584</v>
      </c>
    </row>
    <row r="44" spans="1:24">
      <c r="A44" t="s">
        <v>84</v>
      </c>
      <c r="B44" s="3">
        <f>-CO2排放量!K57*100</f>
        <v>-78374.3085486667</v>
      </c>
      <c r="C44" s="3">
        <f>就业人口!K57</f>
        <v>1370</v>
      </c>
      <c r="D44" s="3">
        <f>资本存量!K57</f>
        <v>52699.0443769288</v>
      </c>
      <c r="E44" s="3">
        <f>能源消耗量!L57</f>
        <v>17544.17</v>
      </c>
      <c r="F44" s="3">
        <f t="shared" si="0"/>
        <v>95290.8114906666</v>
      </c>
      <c r="G44" s="3">
        <f t="shared" si="11"/>
        <v>1876900</v>
      </c>
      <c r="H44" s="3">
        <f t="shared" si="11"/>
        <v>2777189278.24151</v>
      </c>
      <c r="I44" s="3">
        <f t="shared" si="11"/>
        <v>307797900.9889</v>
      </c>
      <c r="J44" s="3">
        <f t="shared" si="2"/>
        <v>72197690.7963925</v>
      </c>
      <c r="K44" s="3">
        <f t="shared" si="3"/>
        <v>24035512.9</v>
      </c>
      <c r="L44" s="3">
        <f t="shared" si="4"/>
        <v>924560993.386383</v>
      </c>
      <c r="M44" s="3">
        <f t="shared" si="8"/>
        <v>9080338754.54977</v>
      </c>
      <c r="N44" s="3">
        <f t="shared" si="5"/>
        <v>130548411.742213</v>
      </c>
      <c r="O44" s="3">
        <f t="shared" si="6"/>
        <v>5021734703.4602</v>
      </c>
      <c r="P44" s="3">
        <f t="shared" si="7"/>
        <v>1671798196.23021</v>
      </c>
      <c r="Q44">
        <v>5</v>
      </c>
      <c r="R44">
        <v>3</v>
      </c>
      <c r="S44">
        <f>GDP!K57</f>
        <v>16916.502942</v>
      </c>
      <c r="V44">
        <f t="shared" si="12"/>
        <v>-2.0490266374175</v>
      </c>
      <c r="X44" s="1">
        <f t="shared" si="10"/>
        <v>4880.36603204121</v>
      </c>
    </row>
    <row r="45" spans="1:24">
      <c r="A45" t="s">
        <v>85</v>
      </c>
      <c r="B45" s="3">
        <f>-CO2排放量!K58*100</f>
        <v>-80600.009</v>
      </c>
      <c r="C45" s="3">
        <f>就业人口!K58</f>
        <v>1360</v>
      </c>
      <c r="D45" s="3">
        <f>资本存量!K58</f>
        <v>65231.7622167436</v>
      </c>
      <c r="E45" s="3">
        <f>能源消耗量!L58</f>
        <v>18167.46</v>
      </c>
      <c r="F45" s="3">
        <f t="shared" si="0"/>
        <v>98370.197819</v>
      </c>
      <c r="G45" s="3">
        <f t="shared" si="11"/>
        <v>1849600</v>
      </c>
      <c r="H45" s="3">
        <f t="shared" si="11"/>
        <v>4255182801.90178</v>
      </c>
      <c r="I45" s="3">
        <f t="shared" si="11"/>
        <v>330056602.8516</v>
      </c>
      <c r="J45" s="3">
        <f t="shared" si="2"/>
        <v>88715196.6147714</v>
      </c>
      <c r="K45" s="3">
        <f t="shared" si="3"/>
        <v>24707745.6</v>
      </c>
      <c r="L45" s="3">
        <f t="shared" si="4"/>
        <v>1185095430.8022</v>
      </c>
      <c r="M45" s="3">
        <f t="shared" si="8"/>
        <v>9676695818.9492</v>
      </c>
      <c r="N45" s="3">
        <f t="shared" si="5"/>
        <v>133783469.03384</v>
      </c>
      <c r="O45" s="3">
        <f t="shared" si="6"/>
        <v>6416861353.34304</v>
      </c>
      <c r="P45" s="3">
        <f t="shared" si="7"/>
        <v>1787136634.06877</v>
      </c>
      <c r="Q45">
        <v>5</v>
      </c>
      <c r="R45">
        <v>4</v>
      </c>
      <c r="S45">
        <f>GDP!K58</f>
        <v>17770.188819</v>
      </c>
      <c r="V45">
        <f t="shared" si="12"/>
        <v>-1.94109539341091</v>
      </c>
      <c r="X45" s="1">
        <f t="shared" si="10"/>
        <v>5151.73032399398</v>
      </c>
    </row>
    <row r="46" spans="1:24">
      <c r="A46" t="s">
        <v>86</v>
      </c>
      <c r="B46" s="3">
        <f>-CO2排放量!K59*100</f>
        <v>-75379.9941893334</v>
      </c>
      <c r="C46" s="3">
        <f>就业人口!K59</f>
        <v>1351</v>
      </c>
      <c r="D46" s="3">
        <f>资本存量!K59</f>
        <v>72671.7347439362</v>
      </c>
      <c r="E46" s="3">
        <f>能源消耗量!L59</f>
        <v>18783.71</v>
      </c>
      <c r="F46" s="3">
        <f t="shared" si="0"/>
        <v>93211.5029723334</v>
      </c>
      <c r="G46" s="3">
        <f t="shared" si="11"/>
        <v>1825201</v>
      </c>
      <c r="H46" s="3">
        <f t="shared" si="11"/>
        <v>5281181030.69303</v>
      </c>
      <c r="I46" s="3">
        <f t="shared" si="11"/>
        <v>352827761.3641</v>
      </c>
      <c r="J46" s="3">
        <f t="shared" si="2"/>
        <v>98179513.6390579</v>
      </c>
      <c r="K46" s="3">
        <f t="shared" si="3"/>
        <v>25376792.21</v>
      </c>
      <c r="L46" s="3">
        <f t="shared" si="4"/>
        <v>1365044790.62702</v>
      </c>
      <c r="M46" s="3">
        <f t="shared" si="8"/>
        <v>8688384286.36131</v>
      </c>
      <c r="N46" s="3">
        <f t="shared" si="5"/>
        <v>125928740.515622</v>
      </c>
      <c r="O46" s="3">
        <f t="shared" si="6"/>
        <v>6773841619.08904</v>
      </c>
      <c r="P46" s="3">
        <f t="shared" si="7"/>
        <v>1750857840.49645</v>
      </c>
      <c r="Q46">
        <v>5</v>
      </c>
      <c r="R46">
        <v>5</v>
      </c>
      <c r="S46">
        <f>GDP!K59</f>
        <v>17831.508783</v>
      </c>
      <c r="V46">
        <f t="shared" si="12"/>
        <v>-1.71616773122881</v>
      </c>
      <c r="X46" s="1">
        <f t="shared" si="10"/>
        <v>5826.93627087358</v>
      </c>
    </row>
    <row r="47" spans="1:24">
      <c r="A47" t="s">
        <v>87</v>
      </c>
      <c r="B47" s="3">
        <f>-CO2排放量!K60*100</f>
        <v>-75461.5166564893</v>
      </c>
      <c r="C47" s="3">
        <f>就业人口!K60</f>
        <v>1326</v>
      </c>
      <c r="D47" s="3">
        <f>资本存量!K60</f>
        <v>80775.2618085184</v>
      </c>
      <c r="E47" s="3">
        <f>能源消耗量!L60</f>
        <v>19309.66</v>
      </c>
      <c r="F47" s="3">
        <f t="shared" si="0"/>
        <v>93589.6166564893</v>
      </c>
      <c r="G47" s="3">
        <f t="shared" si="11"/>
        <v>1758276</v>
      </c>
      <c r="H47" s="3">
        <f t="shared" si="11"/>
        <v>6524642920.23469</v>
      </c>
      <c r="I47" s="3">
        <f t="shared" si="11"/>
        <v>372862969.3156</v>
      </c>
      <c r="J47" s="3">
        <f t="shared" si="2"/>
        <v>107107997.158095</v>
      </c>
      <c r="K47" s="3">
        <f t="shared" si="3"/>
        <v>25604609.16</v>
      </c>
      <c r="L47" s="3">
        <f t="shared" si="4"/>
        <v>1559742841.93348</v>
      </c>
      <c r="M47" s="3">
        <f t="shared" si="8"/>
        <v>8759016345.90862</v>
      </c>
      <c r="N47" s="3">
        <f t="shared" si="5"/>
        <v>124099831.686505</v>
      </c>
      <c r="O47" s="3">
        <f t="shared" si="6"/>
        <v>7559725787.9868</v>
      </c>
      <c r="P47" s="3">
        <f t="shared" si="7"/>
        <v>1807183677.16715</v>
      </c>
      <c r="Q47">
        <v>5</v>
      </c>
      <c r="R47">
        <v>6</v>
      </c>
      <c r="S47">
        <f>GDP!K60</f>
        <v>18128.1</v>
      </c>
      <c r="V47">
        <f t="shared" si="12"/>
        <v>-1.6509883159041</v>
      </c>
      <c r="X47" s="1">
        <f t="shared" si="10"/>
        <v>6056.97805591307</v>
      </c>
    </row>
    <row r="48" spans="1:24">
      <c r="A48" t="s">
        <v>88</v>
      </c>
      <c r="B48" s="3">
        <f>-CO2排放量!K61*100</f>
        <v>-76507.2943113333</v>
      </c>
      <c r="C48" s="3">
        <f>就业人口!K61</f>
        <v>1317</v>
      </c>
      <c r="D48" s="3">
        <f>资本存量!K61</f>
        <v>87033.9974749006</v>
      </c>
      <c r="E48" s="3">
        <f>能源消耗量!L61</f>
        <v>19763.44</v>
      </c>
      <c r="F48" s="3">
        <f t="shared" si="0"/>
        <v>92603.5043113333</v>
      </c>
      <c r="G48" s="3">
        <f t="shared" si="11"/>
        <v>1734489</v>
      </c>
      <c r="H48" s="3">
        <f t="shared" si="11"/>
        <v>7574916716.46101</v>
      </c>
      <c r="I48" s="3">
        <f t="shared" si="11"/>
        <v>390593560.6336</v>
      </c>
      <c r="J48" s="3">
        <f t="shared" si="2"/>
        <v>114623774.674444</v>
      </c>
      <c r="K48" s="3">
        <f t="shared" si="3"/>
        <v>26028450.48</v>
      </c>
      <c r="L48" s="3">
        <f t="shared" si="4"/>
        <v>1720091187.05535</v>
      </c>
      <c r="M48" s="3">
        <f t="shared" si="8"/>
        <v>8575409010.73913</v>
      </c>
      <c r="N48" s="3">
        <f t="shared" si="5"/>
        <v>121958815.178026</v>
      </c>
      <c r="O48" s="3">
        <f t="shared" si="6"/>
        <v>8059653160.39953</v>
      </c>
      <c r="P48" s="3">
        <f t="shared" si="7"/>
        <v>1830163801.24678</v>
      </c>
      <c r="Q48">
        <v>5</v>
      </c>
      <c r="R48">
        <v>7</v>
      </c>
      <c r="S48">
        <f>GDP!K61</f>
        <v>16096.21</v>
      </c>
      <c r="V48">
        <f t="shared" si="12"/>
        <v>-1.58927163466839</v>
      </c>
      <c r="X48" s="1">
        <f t="shared" si="10"/>
        <v>6292.19057451218</v>
      </c>
    </row>
    <row r="49" spans="1:24">
      <c r="A49" t="s">
        <v>89</v>
      </c>
      <c r="B49" s="3">
        <f>-CO2排放量!K62*100</f>
        <v>-85757.3214913333</v>
      </c>
      <c r="C49" s="3">
        <f>就业人口!K62</f>
        <v>1304</v>
      </c>
      <c r="D49" s="3">
        <f>资本存量!K62</f>
        <v>88866.3016189102</v>
      </c>
      <c r="E49" s="3">
        <f>能源消耗量!L62</f>
        <v>23068.47</v>
      </c>
      <c r="F49" s="3">
        <f t="shared" si="0"/>
        <v>101898.121491333</v>
      </c>
      <c r="G49" s="3">
        <f t="shared" si="11"/>
        <v>1700416</v>
      </c>
      <c r="H49" s="3">
        <f t="shared" si="11"/>
        <v>7897219563.42311</v>
      </c>
      <c r="I49" s="3">
        <f t="shared" si="11"/>
        <v>532154308.1409</v>
      </c>
      <c r="J49" s="3">
        <f t="shared" si="2"/>
        <v>115881657.311059</v>
      </c>
      <c r="K49" s="3">
        <f t="shared" si="3"/>
        <v>30081284.88</v>
      </c>
      <c r="L49" s="3">
        <f t="shared" si="4"/>
        <v>2050009612.90678</v>
      </c>
      <c r="M49" s="3">
        <f t="shared" si="8"/>
        <v>10383227163.4625</v>
      </c>
      <c r="N49" s="3">
        <f t="shared" si="5"/>
        <v>132875150.424699</v>
      </c>
      <c r="O49" s="3">
        <f t="shared" si="6"/>
        <v>9055309198.84918</v>
      </c>
      <c r="P49" s="3">
        <f t="shared" si="7"/>
        <v>2350633758.67918</v>
      </c>
      <c r="Q49">
        <v>5</v>
      </c>
      <c r="R49">
        <v>8</v>
      </c>
      <c r="S49">
        <f>GDP!K62</f>
        <v>16140.8</v>
      </c>
      <c r="V49">
        <f t="shared" si="12"/>
        <v>-1.49282340712391</v>
      </c>
      <c r="X49" s="1">
        <f t="shared" si="10"/>
        <v>6698.71597154692</v>
      </c>
    </row>
    <row r="50" spans="1:24">
      <c r="A50" t="s">
        <v>90</v>
      </c>
      <c r="B50" s="3">
        <f>-CO2排放量!K63*100</f>
        <v>-97278.727886</v>
      </c>
      <c r="C50" s="3">
        <f>就业人口!K63</f>
        <v>1272</v>
      </c>
      <c r="D50" s="3">
        <f>资本存量!K63</f>
        <v>91113.5835033876</v>
      </c>
      <c r="E50" s="3">
        <f>能源消耗量!L63</f>
        <v>25345.57</v>
      </c>
      <c r="F50" s="3">
        <f t="shared" si="0"/>
        <v>114491.257886</v>
      </c>
      <c r="G50" s="3">
        <f t="shared" si="11"/>
        <v>1617984</v>
      </c>
      <c r="H50" s="3">
        <f t="shared" si="11"/>
        <v>8301685098.82878</v>
      </c>
      <c r="I50" s="3">
        <f t="shared" si="11"/>
        <v>642397918.6249</v>
      </c>
      <c r="J50" s="3">
        <f t="shared" si="2"/>
        <v>115896478.216309</v>
      </c>
      <c r="K50" s="3">
        <f t="shared" si="3"/>
        <v>32239565.04</v>
      </c>
      <c r="L50" s="3">
        <f t="shared" si="4"/>
        <v>2309325708.63596</v>
      </c>
      <c r="M50" s="3">
        <f t="shared" si="8"/>
        <v>13108248132.3185</v>
      </c>
      <c r="N50" s="3">
        <f t="shared" si="5"/>
        <v>145632880.030992</v>
      </c>
      <c r="O50" s="3">
        <f t="shared" si="6"/>
        <v>10431708785.8039</v>
      </c>
      <c r="P50" s="3">
        <f t="shared" si="7"/>
        <v>2901846191.13766</v>
      </c>
      <c r="Q50">
        <v>5</v>
      </c>
      <c r="R50">
        <v>9</v>
      </c>
      <c r="S50">
        <f>GDP!K63</f>
        <v>17212.53</v>
      </c>
      <c r="V50">
        <f t="shared" si="12"/>
        <v>-1.48534950698562</v>
      </c>
      <c r="X50" s="1">
        <f t="shared" si="10"/>
        <v>6732.42220296963</v>
      </c>
    </row>
    <row r="51" spans="1:24">
      <c r="A51" t="s">
        <v>91</v>
      </c>
      <c r="B51" s="3">
        <f>-CO2排放量!K64*100</f>
        <v>-104666.219544667</v>
      </c>
      <c r="C51" s="3">
        <f>就业人口!K64</f>
        <v>1242</v>
      </c>
      <c r="D51" s="3">
        <f>资本存量!K64</f>
        <v>92961.892730677</v>
      </c>
      <c r="E51" s="3">
        <f>能源消耗量!L64</f>
        <v>27133.65</v>
      </c>
      <c r="F51" s="3">
        <f t="shared" si="0"/>
        <v>122026.039544667</v>
      </c>
      <c r="G51" s="3">
        <f t="shared" si="11"/>
        <v>1542564</v>
      </c>
      <c r="H51" s="3">
        <f t="shared" si="11"/>
        <v>8641913500.0699</v>
      </c>
      <c r="I51" s="3">
        <f t="shared" si="11"/>
        <v>736234962.3225</v>
      </c>
      <c r="J51" s="3">
        <f t="shared" si="2"/>
        <v>115458670.771501</v>
      </c>
      <c r="K51" s="3">
        <f t="shared" si="3"/>
        <v>33699993.3</v>
      </c>
      <c r="L51" s="3">
        <f t="shared" si="4"/>
        <v>2522395460.69173</v>
      </c>
      <c r="M51" s="3">
        <f t="shared" si="8"/>
        <v>14890354326.9566</v>
      </c>
      <c r="N51" s="3">
        <f t="shared" si="5"/>
        <v>151556341.114476</v>
      </c>
      <c r="O51" s="3">
        <f t="shared" si="6"/>
        <v>11343771598.5007</v>
      </c>
      <c r="P51" s="3">
        <f t="shared" si="7"/>
        <v>3311011847.89115</v>
      </c>
      <c r="Q51">
        <v>5</v>
      </c>
      <c r="R51">
        <v>10</v>
      </c>
      <c r="S51">
        <f>GDP!K64</f>
        <v>17359.82</v>
      </c>
      <c r="V51">
        <f t="shared" si="12"/>
        <v>-1.46309155554447</v>
      </c>
      <c r="X51" s="1">
        <f t="shared" si="10"/>
        <v>6834.84226404316</v>
      </c>
    </row>
    <row r="52" spans="1:24">
      <c r="A52" t="s">
        <v>92</v>
      </c>
      <c r="B52" s="3">
        <f>-CO2排放量!K65*100</f>
        <v>-16969.41547</v>
      </c>
      <c r="C52" s="3">
        <f>就业人口!K65</f>
        <v>1379</v>
      </c>
      <c r="D52" s="3">
        <f>资本存量!K65</f>
        <v>12063.6172496492</v>
      </c>
      <c r="E52" s="3">
        <f>能源消耗量!L65</f>
        <v>6393.69</v>
      </c>
      <c r="F52" s="3">
        <f t="shared" si="0"/>
        <v>21989.78547</v>
      </c>
      <c r="G52" s="3">
        <f t="shared" si="11"/>
        <v>1901641</v>
      </c>
      <c r="H52" s="3">
        <f t="shared" si="11"/>
        <v>145530861.146034</v>
      </c>
      <c r="I52" s="3">
        <f t="shared" si="11"/>
        <v>40879271.8161</v>
      </c>
      <c r="J52" s="3">
        <f t="shared" si="2"/>
        <v>16635728.1872663</v>
      </c>
      <c r="K52" s="3">
        <f t="shared" si="3"/>
        <v>8816898.51</v>
      </c>
      <c r="L52" s="3">
        <f t="shared" si="4"/>
        <v>77131028.9729097</v>
      </c>
      <c r="M52" s="3">
        <f t="shared" si="8"/>
        <v>483550665.016623</v>
      </c>
      <c r="N52" s="3">
        <f t="shared" si="5"/>
        <v>30323914.16313</v>
      </c>
      <c r="O52" s="3">
        <f t="shared" si="6"/>
        <v>265276355.311978</v>
      </c>
      <c r="P52" s="3">
        <f t="shared" si="7"/>
        <v>140595871.461684</v>
      </c>
      <c r="Q52">
        <v>6</v>
      </c>
      <c r="R52">
        <v>1</v>
      </c>
      <c r="S52">
        <f>GDP!K65</f>
        <v>5020.37</v>
      </c>
      <c r="V52">
        <f t="shared" si="12"/>
        <v>-2.10361600195173</v>
      </c>
      <c r="X52" s="1">
        <f t="shared" si="10"/>
        <v>4753.71930557764</v>
      </c>
    </row>
    <row r="53" spans="1:24">
      <c r="A53" t="s">
        <v>93</v>
      </c>
      <c r="B53" s="3">
        <f>-CO2排放量!K66*100</f>
        <v>-17375.3779086667</v>
      </c>
      <c r="C53" s="3">
        <f>就业人口!K66</f>
        <v>1358</v>
      </c>
      <c r="D53" s="3">
        <f>资本存量!K66</f>
        <v>15085.7499936829</v>
      </c>
      <c r="E53" s="3">
        <f>能源消耗量!L66</f>
        <v>6893.76</v>
      </c>
      <c r="F53" s="3">
        <f t="shared" si="0"/>
        <v>23025.5818676667</v>
      </c>
      <c r="G53" s="3">
        <f t="shared" si="11"/>
        <v>1844164</v>
      </c>
      <c r="H53" s="3">
        <f t="shared" si="11"/>
        <v>227579852.871903</v>
      </c>
      <c r="I53" s="3">
        <f t="shared" si="11"/>
        <v>47523926.9376</v>
      </c>
      <c r="J53" s="3">
        <f t="shared" si="2"/>
        <v>20486448.4914214</v>
      </c>
      <c r="K53" s="3">
        <f t="shared" si="3"/>
        <v>9361726.08</v>
      </c>
      <c r="L53" s="3">
        <f t="shared" si="4"/>
        <v>103997539.876451</v>
      </c>
      <c r="M53" s="3">
        <f t="shared" si="8"/>
        <v>530177420.34462</v>
      </c>
      <c r="N53" s="3">
        <f t="shared" si="5"/>
        <v>31268740.1762913</v>
      </c>
      <c r="O53" s="3">
        <f t="shared" si="6"/>
        <v>347358171.514697</v>
      </c>
      <c r="P53" s="3">
        <f t="shared" si="7"/>
        <v>158732835.256046</v>
      </c>
      <c r="Q53">
        <v>6</v>
      </c>
      <c r="R53">
        <v>2</v>
      </c>
      <c r="S53">
        <f>GDP!K66</f>
        <v>5650.203959</v>
      </c>
      <c r="V53">
        <f t="shared" si="12"/>
        <v>-2.01718389253043</v>
      </c>
      <c r="X53" s="1">
        <f t="shared" si="10"/>
        <v>4957.40623203948</v>
      </c>
    </row>
    <row r="54" spans="1:24">
      <c r="A54" t="s">
        <v>94</v>
      </c>
      <c r="B54" s="3">
        <f>-CO2排放量!K67*100</f>
        <v>-18146.6489813333</v>
      </c>
      <c r="C54" s="3">
        <f>就业人口!K67</f>
        <v>1352</v>
      </c>
      <c r="D54" s="3">
        <f>资本存量!K67</f>
        <v>18678.0479942893</v>
      </c>
      <c r="E54" s="3">
        <f>能源消耗量!L67</f>
        <v>7286.72</v>
      </c>
      <c r="F54" s="3">
        <f t="shared" si="0"/>
        <v>24477.3412963333</v>
      </c>
      <c r="G54" s="3">
        <f t="shared" si="11"/>
        <v>1827904</v>
      </c>
      <c r="H54" s="3">
        <f t="shared" si="11"/>
        <v>348869476.876976</v>
      </c>
      <c r="I54" s="3">
        <f t="shared" si="11"/>
        <v>53096288.3584</v>
      </c>
      <c r="J54" s="3">
        <f t="shared" si="2"/>
        <v>25252720.8882792</v>
      </c>
      <c r="K54" s="3">
        <f t="shared" si="3"/>
        <v>9851645.44</v>
      </c>
      <c r="L54" s="3">
        <f t="shared" si="4"/>
        <v>136101705.880948</v>
      </c>
      <c r="M54" s="3">
        <f t="shared" si="8"/>
        <v>599140236.937185</v>
      </c>
      <c r="N54" s="3">
        <f t="shared" si="5"/>
        <v>33093365.4326427</v>
      </c>
      <c r="O54" s="3">
        <f t="shared" si="6"/>
        <v>457188955.505514</v>
      </c>
      <c r="P54" s="3">
        <f t="shared" si="7"/>
        <v>178359532.370818</v>
      </c>
      <c r="Q54">
        <v>6</v>
      </c>
      <c r="R54">
        <v>3</v>
      </c>
      <c r="S54">
        <f>GDP!K67</f>
        <v>6330.692315</v>
      </c>
      <c r="V54">
        <f t="shared" si="12"/>
        <v>-1.96574004502438</v>
      </c>
      <c r="X54" s="1">
        <f t="shared" si="10"/>
        <v>5087.14263888132</v>
      </c>
    </row>
    <row r="55" spans="1:24">
      <c r="A55" t="s">
        <v>95</v>
      </c>
      <c r="B55" s="3">
        <f>-CO2排放量!K68*100</f>
        <v>-18046.8552293333</v>
      </c>
      <c r="C55" s="3">
        <f>就业人口!K68</f>
        <v>1348</v>
      </c>
      <c r="D55" s="3">
        <f>资本存量!K68</f>
        <v>23292.1553868376</v>
      </c>
      <c r="E55" s="3">
        <f>能源消耗量!L68</f>
        <v>7521.45</v>
      </c>
      <c r="F55" s="3">
        <f t="shared" si="0"/>
        <v>24883.6760173333</v>
      </c>
      <c r="G55" s="3">
        <f t="shared" si="11"/>
        <v>1817104</v>
      </c>
      <c r="H55" s="3">
        <f t="shared" si="11"/>
        <v>542524502.564586</v>
      </c>
      <c r="I55" s="3">
        <f t="shared" si="11"/>
        <v>56572210.1025</v>
      </c>
      <c r="J55" s="3">
        <f t="shared" si="2"/>
        <v>31397825.461457</v>
      </c>
      <c r="K55" s="3">
        <f t="shared" si="3"/>
        <v>10138914.6</v>
      </c>
      <c r="L55" s="3">
        <f t="shared" si="4"/>
        <v>175190782.134329</v>
      </c>
      <c r="M55" s="3">
        <f t="shared" si="8"/>
        <v>619197332.13561</v>
      </c>
      <c r="N55" s="3">
        <f t="shared" si="5"/>
        <v>33543195.2713653</v>
      </c>
      <c r="O55" s="3">
        <f t="shared" si="6"/>
        <v>579594448.391451</v>
      </c>
      <c r="P55" s="3">
        <f t="shared" si="7"/>
        <v>187161324.980572</v>
      </c>
      <c r="Q55">
        <v>6</v>
      </c>
      <c r="R55">
        <v>4</v>
      </c>
      <c r="S55">
        <f>GDP!K68</f>
        <v>6836.820788</v>
      </c>
      <c r="V55">
        <f t="shared" si="12"/>
        <v>-1.90917991958487</v>
      </c>
      <c r="X55" s="1">
        <f t="shared" si="10"/>
        <v>5237.85102567725</v>
      </c>
    </row>
    <row r="56" spans="1:24">
      <c r="A56" t="s">
        <v>96</v>
      </c>
      <c r="B56" s="3">
        <f>-CO2排放量!K69*100</f>
        <v>-17657.5300766667</v>
      </c>
      <c r="C56" s="3">
        <f>就业人口!K69</f>
        <v>1346</v>
      </c>
      <c r="D56" s="3">
        <f>资本存量!K69</f>
        <v>28815.7284697012</v>
      </c>
      <c r="E56" s="3">
        <f>能源消耗量!L69</f>
        <v>7488.5</v>
      </c>
      <c r="F56" s="3">
        <f t="shared" si="0"/>
        <v>24447.8469746667</v>
      </c>
      <c r="G56" s="3">
        <f t="shared" si="11"/>
        <v>1811716</v>
      </c>
      <c r="H56" s="3">
        <f t="shared" si="11"/>
        <v>830346207.239546</v>
      </c>
      <c r="I56" s="3">
        <f t="shared" si="11"/>
        <v>56077632.25</v>
      </c>
      <c r="J56" s="3">
        <f t="shared" si="2"/>
        <v>38785970.5202178</v>
      </c>
      <c r="K56" s="3">
        <f t="shared" si="3"/>
        <v>10079521</v>
      </c>
      <c r="L56" s="3">
        <f t="shared" si="4"/>
        <v>215786582.645357</v>
      </c>
      <c r="M56" s="3">
        <f t="shared" si="8"/>
        <v>597697221.696718</v>
      </c>
      <c r="N56" s="3">
        <f t="shared" si="5"/>
        <v>32906802.0279013</v>
      </c>
      <c r="O56" s="3">
        <f t="shared" si="6"/>
        <v>704482520.090799</v>
      </c>
      <c r="P56" s="3">
        <f t="shared" si="7"/>
        <v>183077702.069791</v>
      </c>
      <c r="Q56">
        <v>6</v>
      </c>
      <c r="R56">
        <v>5</v>
      </c>
      <c r="S56">
        <f>GDP!K69</f>
        <v>6790.316898</v>
      </c>
      <c r="V56">
        <f t="shared" si="12"/>
        <v>-1.87070962487007</v>
      </c>
      <c r="X56" s="1">
        <f t="shared" si="10"/>
        <v>5345.56505566413</v>
      </c>
    </row>
    <row r="57" spans="1:24">
      <c r="A57" t="s">
        <v>97</v>
      </c>
      <c r="B57" s="3">
        <f>-CO2排放量!K70*100</f>
        <v>-16971.65295</v>
      </c>
      <c r="C57" s="3">
        <f>就业人口!K70</f>
        <v>1341</v>
      </c>
      <c r="D57" s="3">
        <f>资本存量!K70</f>
        <v>34676.0185366098</v>
      </c>
      <c r="E57" s="3">
        <f>能源消耗量!L70</f>
        <v>7299.93</v>
      </c>
      <c r="F57" s="3">
        <f t="shared" si="0"/>
        <v>24172.02295</v>
      </c>
      <c r="G57" s="3">
        <f t="shared" si="11"/>
        <v>1798281</v>
      </c>
      <c r="H57" s="3">
        <f t="shared" si="11"/>
        <v>1202426261.55131</v>
      </c>
      <c r="I57" s="3">
        <f t="shared" si="11"/>
        <v>53288978.0049</v>
      </c>
      <c r="J57" s="3">
        <f t="shared" si="2"/>
        <v>46500540.8575938</v>
      </c>
      <c r="K57" s="3">
        <f t="shared" si="3"/>
        <v>9789206.13</v>
      </c>
      <c r="L57" s="3">
        <f t="shared" si="4"/>
        <v>253132507.995954</v>
      </c>
      <c r="M57" s="3">
        <f t="shared" si="8"/>
        <v>584286693.495327</v>
      </c>
      <c r="N57" s="3">
        <f t="shared" si="5"/>
        <v>32414682.77595</v>
      </c>
      <c r="O57" s="3">
        <f t="shared" si="6"/>
        <v>838189515.881559</v>
      </c>
      <c r="P57" s="3">
        <f t="shared" si="7"/>
        <v>176454075.493394</v>
      </c>
      <c r="Q57">
        <v>6</v>
      </c>
      <c r="R57">
        <v>6</v>
      </c>
      <c r="S57">
        <f>GDP!K70</f>
        <v>7200.37</v>
      </c>
      <c r="V57">
        <f t="shared" si="12"/>
        <v>-1.85880205317106</v>
      </c>
      <c r="X57" s="1">
        <f t="shared" si="10"/>
        <v>5379.80899200122</v>
      </c>
    </row>
    <row r="58" spans="1:24">
      <c r="A58" t="s">
        <v>98</v>
      </c>
      <c r="B58" s="3">
        <f>-CO2排放量!K71*100</f>
        <v>-17398.6765128496</v>
      </c>
      <c r="C58" s="3">
        <f>就业人口!K71</f>
        <v>1337</v>
      </c>
      <c r="D58" s="3">
        <f>资本存量!K71</f>
        <v>40881.2207570953</v>
      </c>
      <c r="E58" s="3">
        <f>能源消耗量!L71</f>
        <v>7503.63</v>
      </c>
      <c r="F58" s="3">
        <f t="shared" si="0"/>
        <v>24858.5760418496</v>
      </c>
      <c r="G58" s="3">
        <f t="shared" si="11"/>
        <v>1787569</v>
      </c>
      <c r="H58" s="3">
        <f t="shared" si="11"/>
        <v>1671274210.59036</v>
      </c>
      <c r="I58" s="3">
        <f t="shared" si="11"/>
        <v>56304463.1769</v>
      </c>
      <c r="J58" s="3">
        <f t="shared" si="2"/>
        <v>54658192.1522364</v>
      </c>
      <c r="K58" s="3">
        <f t="shared" si="3"/>
        <v>10032353.31</v>
      </c>
      <c r="L58" s="3">
        <f t="shared" si="4"/>
        <v>306757554.509563</v>
      </c>
      <c r="M58" s="3">
        <f t="shared" si="8"/>
        <v>617948802.828421</v>
      </c>
      <c r="N58" s="3">
        <f t="shared" si="5"/>
        <v>33235916.167953</v>
      </c>
      <c r="O58" s="3">
        <f t="shared" si="6"/>
        <v>1016248934.8739</v>
      </c>
      <c r="P58" s="3">
        <f t="shared" si="7"/>
        <v>186529556.944904</v>
      </c>
      <c r="Q58">
        <v>6</v>
      </c>
      <c r="R58">
        <v>7</v>
      </c>
      <c r="S58">
        <f>GDP!K71</f>
        <v>7459.899529</v>
      </c>
      <c r="V58">
        <f t="shared" si="12"/>
        <v>-1.81567549017141</v>
      </c>
      <c r="X58" s="1">
        <f t="shared" si="10"/>
        <v>5507.59210780333</v>
      </c>
    </row>
    <row r="59" spans="1:24">
      <c r="A59" t="s">
        <v>99</v>
      </c>
      <c r="B59" s="3">
        <f>-CO2排放量!K72*100</f>
        <v>-18249.6485733333</v>
      </c>
      <c r="C59" s="3">
        <f>就业人口!K72</f>
        <v>1337</v>
      </c>
      <c r="D59" s="3">
        <f>资本存量!K72</f>
        <v>46118.8936644142</v>
      </c>
      <c r="E59" s="3">
        <f>能源消耗量!L72</f>
        <v>7822.54</v>
      </c>
      <c r="F59" s="3">
        <f t="shared" si="0"/>
        <v>26353.7185733333</v>
      </c>
      <c r="G59" s="3">
        <f t="shared" si="11"/>
        <v>1787569</v>
      </c>
      <c r="H59" s="3">
        <f t="shared" si="11"/>
        <v>2126952352.82954</v>
      </c>
      <c r="I59" s="3">
        <f t="shared" si="11"/>
        <v>61192132.0516</v>
      </c>
      <c r="J59" s="3">
        <f t="shared" si="2"/>
        <v>61660960.8293217</v>
      </c>
      <c r="K59" s="3">
        <f t="shared" si="3"/>
        <v>10458735.98</v>
      </c>
      <c r="L59" s="3">
        <f t="shared" si="4"/>
        <v>360766890.445626</v>
      </c>
      <c r="M59" s="3">
        <f t="shared" si="8"/>
        <v>694518482.642454</v>
      </c>
      <c r="N59" s="3">
        <f t="shared" si="5"/>
        <v>35234921.7325467</v>
      </c>
      <c r="O59" s="3">
        <f t="shared" si="6"/>
        <v>1215404344.54546</v>
      </c>
      <c r="P59" s="3">
        <f t="shared" si="7"/>
        <v>206153017.688643</v>
      </c>
      <c r="Q59">
        <v>6</v>
      </c>
      <c r="R59">
        <v>8</v>
      </c>
      <c r="S59">
        <f>GDP!K72</f>
        <v>8104.07</v>
      </c>
      <c r="V59">
        <f t="shared" si="12"/>
        <v>-1.7829557681503</v>
      </c>
      <c r="X59" s="1">
        <f t="shared" si="10"/>
        <v>5608.66409511346</v>
      </c>
    </row>
    <row r="60" spans="1:24">
      <c r="A60" t="s">
        <v>100</v>
      </c>
      <c r="B60" s="3">
        <f>-CO2排放量!K73*100</f>
        <v>-18544.1376746667</v>
      </c>
      <c r="C60" s="3">
        <f>就业人口!K73</f>
        <v>1333</v>
      </c>
      <c r="D60" s="3">
        <f>资本存量!K73</f>
        <v>51454.7948911904</v>
      </c>
      <c r="E60" s="3">
        <f>能源消耗量!L73</f>
        <v>7818.02</v>
      </c>
      <c r="F60" s="3">
        <f t="shared" si="0"/>
        <v>27262.4376746667</v>
      </c>
      <c r="G60" s="3">
        <f t="shared" si="11"/>
        <v>1776889</v>
      </c>
      <c r="H60" s="3">
        <f t="shared" si="11"/>
        <v>2647595917.29447</v>
      </c>
      <c r="I60" s="3">
        <f t="shared" si="11"/>
        <v>61121436.7204</v>
      </c>
      <c r="J60" s="3">
        <f t="shared" si="2"/>
        <v>68589241.5899568</v>
      </c>
      <c r="K60" s="3">
        <f t="shared" si="3"/>
        <v>10421420.66</v>
      </c>
      <c r="L60" s="3">
        <f t="shared" si="4"/>
        <v>402274615.555224</v>
      </c>
      <c r="M60" s="3">
        <f t="shared" si="8"/>
        <v>743240507.965084</v>
      </c>
      <c r="N60" s="3">
        <f t="shared" si="5"/>
        <v>36340829.4203307</v>
      </c>
      <c r="O60" s="3">
        <f t="shared" si="6"/>
        <v>1402783138.78383</v>
      </c>
      <c r="P60" s="3">
        <f t="shared" si="7"/>
        <v>213138282.989297</v>
      </c>
      <c r="Q60">
        <v>6</v>
      </c>
      <c r="R60">
        <v>9</v>
      </c>
      <c r="S60">
        <f>GDP!K73</f>
        <v>8718.3</v>
      </c>
      <c r="V60">
        <f t="shared" si="12"/>
        <v>-1.77754082284596</v>
      </c>
      <c r="X60" s="1">
        <f t="shared" si="10"/>
        <v>5625.74984015802</v>
      </c>
    </row>
    <row r="61" spans="1:24">
      <c r="A61" t="s">
        <v>101</v>
      </c>
      <c r="B61" s="3">
        <f>-CO2排放量!K74*100</f>
        <v>-19598.6526233333</v>
      </c>
      <c r="C61" s="3">
        <f>就业人口!K74</f>
        <v>1331</v>
      </c>
      <c r="D61" s="3">
        <f>资本存量!K74</f>
        <v>57044.8698291531</v>
      </c>
      <c r="E61" s="3">
        <f>能源消耗量!L74</f>
        <v>8104.71</v>
      </c>
      <c r="F61" s="3">
        <f t="shared" si="0"/>
        <v>28615.3526233333</v>
      </c>
      <c r="G61" s="3">
        <f t="shared" si="11"/>
        <v>1771561</v>
      </c>
      <c r="H61" s="3">
        <f t="shared" si="11"/>
        <v>3254117173.82502</v>
      </c>
      <c r="I61" s="3">
        <f t="shared" si="11"/>
        <v>65686324.1841</v>
      </c>
      <c r="J61" s="3">
        <f t="shared" si="2"/>
        <v>75926721.7426028</v>
      </c>
      <c r="K61" s="3">
        <f t="shared" si="3"/>
        <v>10787369.01</v>
      </c>
      <c r="L61" s="3">
        <f t="shared" si="4"/>
        <v>462332126.953035</v>
      </c>
      <c r="M61" s="3">
        <f t="shared" si="8"/>
        <v>818838405.75771</v>
      </c>
      <c r="N61" s="3">
        <f t="shared" si="5"/>
        <v>38087034.3416567</v>
      </c>
      <c r="O61" s="3">
        <f t="shared" si="6"/>
        <v>1632359065.51336</v>
      </c>
      <c r="P61" s="3">
        <f t="shared" si="7"/>
        <v>231919134.559856</v>
      </c>
      <c r="Q61">
        <v>6</v>
      </c>
      <c r="R61">
        <v>10</v>
      </c>
      <c r="S61">
        <f>GDP!K74</f>
        <v>9016.7</v>
      </c>
      <c r="V61">
        <f t="shared" si="12"/>
        <v>-1.74744350136831</v>
      </c>
      <c r="X61" s="1">
        <f t="shared" si="10"/>
        <v>5722.64567762543</v>
      </c>
    </row>
    <row r="62" spans="1:24">
      <c r="A62" t="s">
        <v>102</v>
      </c>
      <c r="B62" s="3">
        <f>-CO2排放量!K75*100</f>
        <v>-19094.8225753333</v>
      </c>
      <c r="C62" s="3">
        <f>就业人口!K75</f>
        <v>478.5</v>
      </c>
      <c r="D62" s="3">
        <f>资本存量!K75</f>
        <v>5189.69429498617</v>
      </c>
      <c r="E62" s="3">
        <f>能源消耗量!L75</f>
        <v>4719.9</v>
      </c>
      <c r="F62" s="3">
        <f t="shared" si="0"/>
        <v>21197.0325753333</v>
      </c>
      <c r="G62" s="3">
        <f t="shared" si="11"/>
        <v>228962.25</v>
      </c>
      <c r="H62" s="3">
        <f t="shared" si="11"/>
        <v>26932926.875412</v>
      </c>
      <c r="I62" s="3">
        <f t="shared" si="11"/>
        <v>22277456.01</v>
      </c>
      <c r="J62" s="3">
        <f t="shared" si="2"/>
        <v>2483268.72015088</v>
      </c>
      <c r="K62" s="3">
        <f t="shared" si="3"/>
        <v>2258472.15</v>
      </c>
      <c r="L62" s="3">
        <f t="shared" si="4"/>
        <v>24494838.1029052</v>
      </c>
      <c r="M62" s="3">
        <f t="shared" si="8"/>
        <v>449314189.999742</v>
      </c>
      <c r="N62" s="3">
        <f t="shared" si="5"/>
        <v>10142780.087297</v>
      </c>
      <c r="O62" s="3">
        <f t="shared" si="6"/>
        <v>110006119.026843</v>
      </c>
      <c r="P62" s="3">
        <f t="shared" si="7"/>
        <v>100047874.052316</v>
      </c>
      <c r="Q62">
        <v>7</v>
      </c>
      <c r="R62">
        <v>1</v>
      </c>
      <c r="S62">
        <f>GDP!K75</f>
        <v>2102.21</v>
      </c>
      <c r="V62">
        <f t="shared" si="12"/>
        <v>-4.37392656432552</v>
      </c>
      <c r="X62" s="1">
        <f t="shared" si="10"/>
        <v>2286.27523872067</v>
      </c>
    </row>
    <row r="63" spans="1:24">
      <c r="A63" t="s">
        <v>103</v>
      </c>
      <c r="B63" s="3">
        <f>-CO2排放量!K76*100</f>
        <v>-18856.9617441279</v>
      </c>
      <c r="C63" s="3">
        <f>就业人口!K76</f>
        <v>487.9</v>
      </c>
      <c r="D63" s="3">
        <f>资本存量!K76</f>
        <v>6801.00184266749</v>
      </c>
      <c r="E63" s="3">
        <f>能源消耗量!L76</f>
        <v>4895.2</v>
      </c>
      <c r="F63" s="3">
        <f t="shared" si="0"/>
        <v>21198.2517441279</v>
      </c>
      <c r="G63" s="3">
        <f t="shared" si="11"/>
        <v>238046.41</v>
      </c>
      <c r="H63" s="3">
        <f t="shared" si="11"/>
        <v>46253626.0639666</v>
      </c>
      <c r="I63" s="3">
        <f t="shared" si="11"/>
        <v>23962983.04</v>
      </c>
      <c r="J63" s="3">
        <f t="shared" si="2"/>
        <v>3318208.79903747</v>
      </c>
      <c r="K63" s="3">
        <f t="shared" si="3"/>
        <v>2388368.08</v>
      </c>
      <c r="L63" s="3">
        <f t="shared" si="4"/>
        <v>33292264.2202259</v>
      </c>
      <c r="M63" s="3">
        <f t="shared" si="8"/>
        <v>449365877.007422</v>
      </c>
      <c r="N63" s="3">
        <f t="shared" si="5"/>
        <v>10342627.02596</v>
      </c>
      <c r="O63" s="3">
        <f t="shared" si="6"/>
        <v>144169349.173143</v>
      </c>
      <c r="P63" s="3">
        <f t="shared" si="7"/>
        <v>103769681.937855</v>
      </c>
      <c r="Q63">
        <v>7</v>
      </c>
      <c r="R63">
        <v>2</v>
      </c>
      <c r="S63">
        <f>GDP!K76</f>
        <v>2341.29</v>
      </c>
      <c r="V63">
        <f t="shared" si="12"/>
        <v>-3.90595959068201</v>
      </c>
      <c r="X63" s="1">
        <f t="shared" si="10"/>
        <v>2560.19033680119</v>
      </c>
    </row>
    <row r="64" spans="1:24">
      <c r="A64" t="s">
        <v>104</v>
      </c>
      <c r="B64" s="3">
        <f>-CO2排放量!K77*100</f>
        <v>-18775.6074066667</v>
      </c>
      <c r="C64" s="3">
        <f>就业人口!K77</f>
        <v>494</v>
      </c>
      <c r="D64" s="3">
        <f>资本存量!K77</f>
        <v>8829.24856577141</v>
      </c>
      <c r="E64" s="3">
        <f>能源消耗量!L77</f>
        <v>5186.8</v>
      </c>
      <c r="F64" s="3">
        <f t="shared" si="0"/>
        <v>21353.1774066667</v>
      </c>
      <c r="G64" s="3">
        <f t="shared" si="11"/>
        <v>244036</v>
      </c>
      <c r="H64" s="3">
        <f t="shared" si="11"/>
        <v>77955630.2361766</v>
      </c>
      <c r="I64" s="3">
        <f t="shared" si="11"/>
        <v>26902894.24</v>
      </c>
      <c r="J64" s="3">
        <f t="shared" si="2"/>
        <v>4361648.79149108</v>
      </c>
      <c r="K64" s="3">
        <f t="shared" si="3"/>
        <v>2562279.2</v>
      </c>
      <c r="L64" s="3">
        <f t="shared" si="4"/>
        <v>45795546.4609432</v>
      </c>
      <c r="M64" s="3">
        <f t="shared" si="8"/>
        <v>455958185.36058</v>
      </c>
      <c r="N64" s="3">
        <f t="shared" si="5"/>
        <v>10548469.6388933</v>
      </c>
      <c r="O64" s="3">
        <f t="shared" si="6"/>
        <v>188532510.992474</v>
      </c>
      <c r="P64" s="3">
        <f t="shared" si="7"/>
        <v>110754660.572899</v>
      </c>
      <c r="Q64">
        <v>7</v>
      </c>
      <c r="R64">
        <v>3</v>
      </c>
      <c r="S64">
        <f>GDP!K77</f>
        <v>2577.57</v>
      </c>
      <c r="V64">
        <f t="shared" si="12"/>
        <v>-3.43382083837339</v>
      </c>
      <c r="X64" s="1">
        <f t="shared" si="10"/>
        <v>2912.20784970745</v>
      </c>
    </row>
    <row r="65" spans="1:24">
      <c r="A65" t="s">
        <v>105</v>
      </c>
      <c r="B65" s="3">
        <f>-CO2排放量!K78*100</f>
        <v>-19521.5828807213</v>
      </c>
      <c r="C65" s="3">
        <f>就业人口!K78</f>
        <v>499.15</v>
      </c>
      <c r="D65" s="3">
        <f>资本存量!K78</f>
        <v>11182.6256034574</v>
      </c>
      <c r="E65" s="3">
        <f>能源消耗量!L78</f>
        <v>5336.2</v>
      </c>
      <c r="F65" s="3">
        <f t="shared" si="0"/>
        <v>22273.6828807213</v>
      </c>
      <c r="G65" s="3">
        <f t="shared" si="11"/>
        <v>249150.7225</v>
      </c>
      <c r="H65" s="3">
        <f t="shared" si="11"/>
        <v>125051115.3871</v>
      </c>
      <c r="I65" s="3">
        <f t="shared" si="11"/>
        <v>28475030.44</v>
      </c>
      <c r="J65" s="3">
        <f t="shared" si="2"/>
        <v>5581807.56996574</v>
      </c>
      <c r="K65" s="3">
        <f t="shared" si="3"/>
        <v>2663564.23</v>
      </c>
      <c r="L65" s="3">
        <f t="shared" si="4"/>
        <v>59672726.7451692</v>
      </c>
      <c r="M65" s="3">
        <f t="shared" si="8"/>
        <v>496116949.070939</v>
      </c>
      <c r="N65" s="3">
        <f t="shared" si="5"/>
        <v>11117908.8099121</v>
      </c>
      <c r="O65" s="3">
        <f t="shared" si="6"/>
        <v>249078256.465244</v>
      </c>
      <c r="P65" s="3">
        <f t="shared" si="7"/>
        <v>118856826.588105</v>
      </c>
      <c r="Q65">
        <v>7</v>
      </c>
      <c r="R65">
        <v>4</v>
      </c>
      <c r="S65">
        <f>GDP!K78</f>
        <v>2752.1</v>
      </c>
      <c r="V65">
        <f t="shared" si="12"/>
        <v>-3.33303808433086</v>
      </c>
      <c r="X65" s="1">
        <f t="shared" si="10"/>
        <v>3000.26574764074</v>
      </c>
    </row>
    <row r="66" spans="1:24">
      <c r="A66" t="s">
        <v>106</v>
      </c>
      <c r="B66" s="3">
        <f>-CO2排放量!K79*100</f>
        <v>-19337.8490473333</v>
      </c>
      <c r="C66" s="3">
        <f>就业人口!K79</f>
        <v>503.1</v>
      </c>
      <c r="D66" s="3">
        <f>资本存量!K79</f>
        <v>13642.0203455255</v>
      </c>
      <c r="E66" s="3">
        <f>能源消耗量!L79</f>
        <v>5711.9</v>
      </c>
      <c r="F66" s="3">
        <f t="shared" ref="F66:F81" si="13">S66-B66</f>
        <v>22249.6190473333</v>
      </c>
      <c r="G66" s="3">
        <f t="shared" ref="G66:I81" si="14">C66*C66</f>
        <v>253109.61</v>
      </c>
      <c r="H66" s="3">
        <f t="shared" si="14"/>
        <v>186104719.10773</v>
      </c>
      <c r="I66" s="3">
        <f t="shared" si="14"/>
        <v>32625801.61</v>
      </c>
      <c r="J66" s="3">
        <f t="shared" ref="J66:J81" si="15">C66*D66</f>
        <v>6863300.43583386</v>
      </c>
      <c r="K66" s="3">
        <f t="shared" ref="K66:K81" si="16">C66*E66</f>
        <v>2873656.89</v>
      </c>
      <c r="L66" s="3">
        <f t="shared" ref="L66:L81" si="17">D66*E66</f>
        <v>77921856.0116068</v>
      </c>
      <c r="M66" s="3">
        <f t="shared" si="8"/>
        <v>495045547.751458</v>
      </c>
      <c r="N66" s="3">
        <f t="shared" ref="N66:N81" si="18">C66*F66</f>
        <v>11193783.3427134</v>
      </c>
      <c r="O66" s="3">
        <f t="shared" ref="O66:O81" si="19">D66*F66</f>
        <v>303529755.723912</v>
      </c>
      <c r="P66" s="3">
        <f t="shared" ref="P66:P81" si="20">E66*F66</f>
        <v>127087599.036463</v>
      </c>
      <c r="Q66">
        <v>7</v>
      </c>
      <c r="R66">
        <v>5</v>
      </c>
      <c r="S66">
        <f>GDP!K79</f>
        <v>2911.77</v>
      </c>
      <c r="V66">
        <f t="shared" ref="V66:V81" si="21">-($U$2+$U$4*B66*(-1)+$U$8*C66+$U$10*D66+$U$12*E66+$U$6*S66)/($U$14+$U$16*S66+$U$18*C66+$U$20*D66+$U$22*E66+$U$6*B66*(-1))</f>
        <v>-2.92504660456441</v>
      </c>
      <c r="X66" s="1">
        <f t="shared" si="10"/>
        <v>3418.74894724598</v>
      </c>
    </row>
    <row r="67" spans="1:24">
      <c r="A67" t="s">
        <v>107</v>
      </c>
      <c r="B67" s="3">
        <f>-CO2排放量!K80*100</f>
        <v>-18971.7234268763</v>
      </c>
      <c r="C67" s="3">
        <f>就业人口!K80</f>
        <v>509.4</v>
      </c>
      <c r="D67" s="3">
        <f>资本存量!K80</f>
        <v>16167.849692355</v>
      </c>
      <c r="E67" s="3">
        <f>能源消耗量!L80</f>
        <v>5787.5</v>
      </c>
      <c r="F67" s="3">
        <f t="shared" si="13"/>
        <v>22140.3134268763</v>
      </c>
      <c r="G67" s="3">
        <f t="shared" si="14"/>
        <v>259488.36</v>
      </c>
      <c r="H67" s="3">
        <f t="shared" si="14"/>
        <v>261399363.674584</v>
      </c>
      <c r="I67" s="3">
        <f t="shared" si="14"/>
        <v>33495156.25</v>
      </c>
      <c r="J67" s="3">
        <f t="shared" si="15"/>
        <v>8235902.63328564</v>
      </c>
      <c r="K67" s="3">
        <f t="shared" si="16"/>
        <v>2948152.5</v>
      </c>
      <c r="L67" s="3">
        <f t="shared" si="17"/>
        <v>93571430.0945046</v>
      </c>
      <c r="M67" s="3">
        <f t="shared" ref="M67:M81" si="22">F67*F67</f>
        <v>490193478.64032</v>
      </c>
      <c r="N67" s="3">
        <f t="shared" si="18"/>
        <v>11278275.6596508</v>
      </c>
      <c r="O67" s="3">
        <f t="shared" si="19"/>
        <v>357961259.627366</v>
      </c>
      <c r="P67" s="3">
        <f t="shared" si="20"/>
        <v>128137063.958047</v>
      </c>
      <c r="Q67">
        <v>7</v>
      </c>
      <c r="R67">
        <v>6</v>
      </c>
      <c r="S67">
        <f>GDP!K80</f>
        <v>3168.59</v>
      </c>
      <c r="V67">
        <f t="shared" si="21"/>
        <v>-2.79220689753574</v>
      </c>
      <c r="X67" s="1">
        <f t="shared" ref="X67:X81" si="23">-10000/V67</f>
        <v>3581.39649637907</v>
      </c>
    </row>
    <row r="68" spans="1:24">
      <c r="A68" t="s">
        <v>108</v>
      </c>
      <c r="B68" s="3">
        <f>-CO2排放量!K81*100</f>
        <v>-22623.797925305</v>
      </c>
      <c r="C68" s="3">
        <f>就业人口!K81</f>
        <v>514.4</v>
      </c>
      <c r="D68" s="3">
        <f>资本存量!K81</f>
        <v>18429.1149218889</v>
      </c>
      <c r="E68" s="3">
        <f>能源消耗量!L81</f>
        <v>6798.2</v>
      </c>
      <c r="F68" s="3">
        <f t="shared" si="13"/>
        <v>26067.357925305</v>
      </c>
      <c r="G68" s="3">
        <f t="shared" si="14"/>
        <v>264607.36</v>
      </c>
      <c r="H68" s="3">
        <f t="shared" si="14"/>
        <v>339632276.804189</v>
      </c>
      <c r="I68" s="3">
        <f t="shared" si="14"/>
        <v>46215523.24</v>
      </c>
      <c r="J68" s="3">
        <f t="shared" si="15"/>
        <v>9479936.71581966</v>
      </c>
      <c r="K68" s="3">
        <f t="shared" si="16"/>
        <v>3496994.08</v>
      </c>
      <c r="L68" s="3">
        <f t="shared" si="17"/>
        <v>125284809.061985</v>
      </c>
      <c r="M68" s="3">
        <f t="shared" si="22"/>
        <v>679507149.205961</v>
      </c>
      <c r="N68" s="3">
        <f t="shared" si="18"/>
        <v>13409048.9167769</v>
      </c>
      <c r="O68" s="3">
        <f t="shared" si="19"/>
        <v>480398334.915458</v>
      </c>
      <c r="P68" s="3">
        <f t="shared" si="20"/>
        <v>177211112.647808</v>
      </c>
      <c r="Q68">
        <v>7</v>
      </c>
      <c r="R68">
        <v>7</v>
      </c>
      <c r="S68">
        <f>GDP!K81</f>
        <v>3443.56</v>
      </c>
      <c r="V68">
        <f t="shared" si="21"/>
        <v>-2.56184327344521</v>
      </c>
      <c r="X68" s="1">
        <f t="shared" si="23"/>
        <v>3903.43941163576</v>
      </c>
    </row>
    <row r="69" spans="1:24">
      <c r="A69" t="s">
        <v>109</v>
      </c>
      <c r="B69" s="3">
        <f>-CO2排放量!K82*100</f>
        <v>-23593.4728093333</v>
      </c>
      <c r="C69" s="3">
        <f>就业人口!K82</f>
        <v>518.36</v>
      </c>
      <c r="D69" s="3">
        <f>资本存量!K82</f>
        <v>19779.2637893876</v>
      </c>
      <c r="E69" s="3">
        <f>能源消耗量!L82</f>
        <v>7530.2</v>
      </c>
      <c r="F69" s="3">
        <f t="shared" si="13"/>
        <v>27103.6828093333</v>
      </c>
      <c r="G69" s="3">
        <f t="shared" si="14"/>
        <v>268697.0896</v>
      </c>
      <c r="H69" s="3">
        <f t="shared" si="14"/>
        <v>391219276.050179</v>
      </c>
      <c r="I69" s="3">
        <f t="shared" si="14"/>
        <v>56703912.04</v>
      </c>
      <c r="J69" s="3">
        <f t="shared" si="15"/>
        <v>10252779.177867</v>
      </c>
      <c r="K69" s="3">
        <f t="shared" si="16"/>
        <v>3903354.472</v>
      </c>
      <c r="L69" s="3">
        <f t="shared" si="17"/>
        <v>148941812.186846</v>
      </c>
      <c r="M69" s="3">
        <f t="shared" si="22"/>
        <v>734609621.828951</v>
      </c>
      <c r="N69" s="3">
        <f t="shared" si="18"/>
        <v>14049465.021046</v>
      </c>
      <c r="O69" s="3">
        <f t="shared" si="19"/>
        <v>536090891.949694</v>
      </c>
      <c r="P69" s="3">
        <f t="shared" si="20"/>
        <v>204096152.290842</v>
      </c>
      <c r="Q69">
        <v>7</v>
      </c>
      <c r="R69">
        <v>8</v>
      </c>
      <c r="S69">
        <f>GDP!K82</f>
        <v>3510.21</v>
      </c>
      <c r="V69">
        <f t="shared" si="21"/>
        <v>-2.32333098281903</v>
      </c>
      <c r="X69" s="1">
        <f t="shared" si="23"/>
        <v>4304.16504318572</v>
      </c>
    </row>
    <row r="70" spans="1:24">
      <c r="A70" t="s">
        <v>110</v>
      </c>
      <c r="B70" s="3">
        <f>-CO2排放量!K83*100</f>
        <v>-25189.8741255556</v>
      </c>
      <c r="C70" s="3">
        <f>就业人口!K83</f>
        <v>523.3</v>
      </c>
      <c r="D70" s="3">
        <f>资本存量!K83</f>
        <v>20653.5511656064</v>
      </c>
      <c r="E70" s="3">
        <f>能源消耗量!L83</f>
        <v>8166.7</v>
      </c>
      <c r="F70" s="3">
        <f t="shared" si="13"/>
        <v>28938.3541255556</v>
      </c>
      <c r="G70" s="3">
        <f t="shared" si="14"/>
        <v>273842.89</v>
      </c>
      <c r="H70" s="3">
        <f t="shared" si="14"/>
        <v>426569175.750321</v>
      </c>
      <c r="I70" s="3">
        <f t="shared" si="14"/>
        <v>66694988.89</v>
      </c>
      <c r="J70" s="3">
        <f t="shared" si="15"/>
        <v>10808003.3249618</v>
      </c>
      <c r="K70" s="3">
        <f t="shared" si="16"/>
        <v>4273634.11</v>
      </c>
      <c r="L70" s="3">
        <f t="shared" si="17"/>
        <v>168671356.304158</v>
      </c>
      <c r="M70" s="3">
        <f t="shared" si="22"/>
        <v>837428339.496058</v>
      </c>
      <c r="N70" s="3">
        <f t="shared" si="18"/>
        <v>15143440.7139032</v>
      </c>
      <c r="O70" s="3">
        <f t="shared" si="19"/>
        <v>597679777.580598</v>
      </c>
      <c r="P70" s="3">
        <f t="shared" si="20"/>
        <v>236330856.637175</v>
      </c>
      <c r="Q70">
        <v>7</v>
      </c>
      <c r="R70">
        <v>9</v>
      </c>
      <c r="S70">
        <f>GDP!K83</f>
        <v>3748.48</v>
      </c>
      <c r="V70">
        <f t="shared" si="21"/>
        <v>-2.21309197725052</v>
      </c>
      <c r="X70" s="1">
        <f t="shared" si="23"/>
        <v>4518.56502250922</v>
      </c>
    </row>
    <row r="71" spans="1:24">
      <c r="A71" t="s">
        <v>111</v>
      </c>
      <c r="B71" s="3">
        <f>-CO2排放量!K84*100</f>
        <v>-25951.2911477778</v>
      </c>
      <c r="C71" s="3">
        <f>就业人口!K84</f>
        <v>559.1</v>
      </c>
      <c r="D71" s="3">
        <f>资本存量!K84</f>
        <v>21577.0155537082</v>
      </c>
      <c r="E71" s="3">
        <f>能源消耗量!L84</f>
        <v>8581.8</v>
      </c>
      <c r="F71" s="3">
        <f t="shared" si="13"/>
        <v>29871.8411477778</v>
      </c>
      <c r="G71" s="3">
        <f t="shared" si="14"/>
        <v>312592.81</v>
      </c>
      <c r="H71" s="3">
        <f t="shared" si="14"/>
        <v>465567600.204964</v>
      </c>
      <c r="I71" s="3">
        <f t="shared" si="14"/>
        <v>73647291.24</v>
      </c>
      <c r="J71" s="3">
        <f t="shared" si="15"/>
        <v>12063709.3960782</v>
      </c>
      <c r="K71" s="3">
        <f t="shared" si="16"/>
        <v>4798084.38</v>
      </c>
      <c r="L71" s="3">
        <f t="shared" si="17"/>
        <v>185169632.078813</v>
      </c>
      <c r="M71" s="3">
        <f t="shared" si="22"/>
        <v>892326893.55807</v>
      </c>
      <c r="N71" s="3">
        <f t="shared" si="18"/>
        <v>16701346.3857226</v>
      </c>
      <c r="O71" s="3">
        <f t="shared" si="19"/>
        <v>644545181.063501</v>
      </c>
      <c r="P71" s="3">
        <f t="shared" si="20"/>
        <v>256354166.361999</v>
      </c>
      <c r="Q71">
        <v>7</v>
      </c>
      <c r="R71">
        <v>10</v>
      </c>
      <c r="S71">
        <f>GDP!K84</f>
        <v>3920.55</v>
      </c>
      <c r="V71">
        <f t="shared" si="21"/>
        <v>-2.12366172600339</v>
      </c>
      <c r="X71" s="1">
        <f t="shared" si="23"/>
        <v>4708.8478723113</v>
      </c>
    </row>
    <row r="72" spans="1:24">
      <c r="A72" t="s">
        <v>112</v>
      </c>
      <c r="B72" s="3">
        <f>-CO2排放量!K85*100</f>
        <v>-28631.1098393333</v>
      </c>
      <c r="C72" s="3">
        <f>就业人口!K85</f>
        <v>1246.12</v>
      </c>
      <c r="D72" s="3">
        <f>资本存量!K85</f>
        <v>14155.5056261206</v>
      </c>
      <c r="E72" s="3">
        <f>能源消耗量!L85</f>
        <v>9474.5</v>
      </c>
      <c r="F72" s="3">
        <f t="shared" si="13"/>
        <v>35241.1598393333</v>
      </c>
      <c r="G72" s="3">
        <f t="shared" si="14"/>
        <v>1552815.0544</v>
      </c>
      <c r="H72" s="3">
        <f t="shared" si="14"/>
        <v>200378339.531131</v>
      </c>
      <c r="I72" s="3">
        <f t="shared" si="14"/>
        <v>89766150.25</v>
      </c>
      <c r="J72" s="3">
        <f t="shared" si="15"/>
        <v>17639458.6708214</v>
      </c>
      <c r="K72" s="3">
        <f t="shared" si="16"/>
        <v>11806363.94</v>
      </c>
      <c r="L72" s="3">
        <f t="shared" si="17"/>
        <v>134116338.054679</v>
      </c>
      <c r="M72" s="3">
        <f t="shared" si="22"/>
        <v>1241939346.82144</v>
      </c>
      <c r="N72" s="3">
        <f t="shared" si="18"/>
        <v>43914714.0989901</v>
      </c>
      <c r="O72" s="3">
        <f t="shared" si="19"/>
        <v>498856436.376698</v>
      </c>
      <c r="P72" s="3">
        <f t="shared" si="20"/>
        <v>333892368.897764</v>
      </c>
      <c r="Q72">
        <v>8</v>
      </c>
      <c r="R72">
        <v>1</v>
      </c>
      <c r="S72">
        <f>GDP!K85</f>
        <v>6610.05</v>
      </c>
      <c r="V72">
        <f t="shared" si="21"/>
        <v>-1.9656128208848</v>
      </c>
      <c r="X72" s="1">
        <f t="shared" si="23"/>
        <v>5087.47190379976</v>
      </c>
    </row>
    <row r="73" spans="1:24">
      <c r="A73" t="s">
        <v>113</v>
      </c>
      <c r="B73" s="3">
        <f>-CO2排放量!K86*100</f>
        <v>-33344.0799646667</v>
      </c>
      <c r="C73" s="3">
        <f>就业人口!K86</f>
        <v>1257.85</v>
      </c>
      <c r="D73" s="3">
        <f>资本存量!K86</f>
        <v>18955.357086013</v>
      </c>
      <c r="E73" s="3">
        <f>能源消耗量!L86</f>
        <v>11293.7</v>
      </c>
      <c r="F73" s="3">
        <f t="shared" si="13"/>
        <v>40849.3899646667</v>
      </c>
      <c r="G73" s="3">
        <f t="shared" si="14"/>
        <v>1582186.6225</v>
      </c>
      <c r="H73" s="3">
        <f t="shared" si="14"/>
        <v>359305562.258263</v>
      </c>
      <c r="I73" s="3">
        <f t="shared" si="14"/>
        <v>127547659.69</v>
      </c>
      <c r="J73" s="3">
        <f t="shared" si="15"/>
        <v>23842995.9106415</v>
      </c>
      <c r="K73" s="3">
        <f t="shared" si="16"/>
        <v>14205780.545</v>
      </c>
      <c r="L73" s="3">
        <f t="shared" si="17"/>
        <v>214076116.322305</v>
      </c>
      <c r="M73" s="3">
        <f t="shared" si="22"/>
        <v>1668672660.48541</v>
      </c>
      <c r="N73" s="3">
        <f t="shared" si="18"/>
        <v>51382405.167056</v>
      </c>
      <c r="O73" s="3">
        <f t="shared" si="19"/>
        <v>774314773.526053</v>
      </c>
      <c r="P73" s="3">
        <f t="shared" si="20"/>
        <v>461340755.443956</v>
      </c>
      <c r="Q73">
        <v>8</v>
      </c>
      <c r="R73">
        <v>2</v>
      </c>
      <c r="S73">
        <f>GDP!K86</f>
        <v>7505.31</v>
      </c>
      <c r="V73">
        <f t="shared" si="21"/>
        <v>-1.80856403582415</v>
      </c>
      <c r="X73" s="1">
        <f t="shared" si="23"/>
        <v>5529.24850982292</v>
      </c>
    </row>
    <row r="74" spans="1:24">
      <c r="A74" t="s">
        <v>114</v>
      </c>
      <c r="B74" s="3">
        <f>-CO2排放量!K87*100</f>
        <v>-33633.6771553333</v>
      </c>
      <c r="C74" s="3">
        <f>就业人口!K87</f>
        <v>1271.9</v>
      </c>
      <c r="D74" s="3">
        <f>资本存量!K87</f>
        <v>24867.9471057558</v>
      </c>
      <c r="E74" s="3">
        <f>能源消耗量!L87</f>
        <v>13631.8</v>
      </c>
      <c r="F74" s="3">
        <f t="shared" si="13"/>
        <v>42077.5171553333</v>
      </c>
      <c r="G74" s="3">
        <f t="shared" si="14"/>
        <v>1617729.61</v>
      </c>
      <c r="H74" s="3">
        <f t="shared" si="14"/>
        <v>618414793.254666</v>
      </c>
      <c r="I74" s="3">
        <f t="shared" si="14"/>
        <v>185825971.24</v>
      </c>
      <c r="J74" s="3">
        <f t="shared" si="15"/>
        <v>31629541.9238108</v>
      </c>
      <c r="K74" s="3">
        <f t="shared" si="16"/>
        <v>17338286.42</v>
      </c>
      <c r="L74" s="3">
        <f t="shared" si="17"/>
        <v>338994881.356241</v>
      </c>
      <c r="M74" s="3">
        <f t="shared" si="22"/>
        <v>1770517449.95737</v>
      </c>
      <c r="N74" s="3">
        <f t="shared" si="18"/>
        <v>53518394.0698685</v>
      </c>
      <c r="O74" s="3">
        <f t="shared" si="19"/>
        <v>1046381470.96036</v>
      </c>
      <c r="P74" s="3">
        <f t="shared" si="20"/>
        <v>573592298.358073</v>
      </c>
      <c r="Q74">
        <v>8</v>
      </c>
      <c r="R74">
        <v>3</v>
      </c>
      <c r="S74">
        <f>GDP!K87</f>
        <v>8443.84</v>
      </c>
      <c r="V74">
        <f t="shared" si="21"/>
        <v>-1.59368091813574</v>
      </c>
      <c r="X74" s="1">
        <f t="shared" si="23"/>
        <v>6274.78178737172</v>
      </c>
    </row>
    <row r="75" spans="1:24">
      <c r="A75" t="s">
        <v>115</v>
      </c>
      <c r="B75" s="3">
        <f>-CO2排放量!K88*100</f>
        <v>-36625.9665046667</v>
      </c>
      <c r="C75" s="3">
        <f>就业人口!K88</f>
        <v>1276.21</v>
      </c>
      <c r="D75" s="3">
        <f>资本存量!K88</f>
        <v>31928.3660836032</v>
      </c>
      <c r="E75" s="3">
        <f>能源消耗量!L88</f>
        <v>14926.1</v>
      </c>
      <c r="F75" s="3">
        <f t="shared" si="13"/>
        <v>45899.4265046667</v>
      </c>
      <c r="G75" s="3">
        <f t="shared" si="14"/>
        <v>1628711.9641</v>
      </c>
      <c r="H75" s="3">
        <f t="shared" si="14"/>
        <v>1019420560.76858</v>
      </c>
      <c r="I75" s="3">
        <f t="shared" si="14"/>
        <v>222788461.21</v>
      </c>
      <c r="J75" s="3">
        <f t="shared" si="15"/>
        <v>40747300.0795553</v>
      </c>
      <c r="K75" s="3">
        <f t="shared" si="16"/>
        <v>19048838.081</v>
      </c>
      <c r="L75" s="3">
        <f t="shared" si="17"/>
        <v>476565985.00047</v>
      </c>
      <c r="M75" s="3">
        <f t="shared" si="22"/>
        <v>2106757353.4573</v>
      </c>
      <c r="N75" s="3">
        <f t="shared" si="18"/>
        <v>58577307.0995207</v>
      </c>
      <c r="O75" s="3">
        <f t="shared" si="19"/>
        <v>1465493692.46844</v>
      </c>
      <c r="P75" s="3">
        <f t="shared" si="20"/>
        <v>685099429.951305</v>
      </c>
      <c r="Q75">
        <v>8</v>
      </c>
      <c r="R75">
        <v>4</v>
      </c>
      <c r="S75">
        <f>GDP!K88</f>
        <v>9273.46</v>
      </c>
      <c r="V75">
        <f t="shared" si="21"/>
        <v>-1.53791474822987</v>
      </c>
      <c r="X75" s="1">
        <f t="shared" si="23"/>
        <v>6502.31101009333</v>
      </c>
    </row>
    <row r="76" spans="1:24">
      <c r="A76" t="s">
        <v>116</v>
      </c>
      <c r="B76" s="3">
        <f>-CO2排放量!K89*100</f>
        <v>-37909.1800073333</v>
      </c>
      <c r="C76" s="3">
        <f>就业人口!K89</f>
        <v>1305.42</v>
      </c>
      <c r="D76" s="3">
        <f>资本存量!K89</f>
        <v>39676.2735395773</v>
      </c>
      <c r="E76" s="3">
        <f>能源消耗量!L89</f>
        <v>15666.1</v>
      </c>
      <c r="F76" s="3">
        <f t="shared" si="13"/>
        <v>47233.9800073333</v>
      </c>
      <c r="G76" s="3">
        <f t="shared" si="14"/>
        <v>1704121.3764</v>
      </c>
      <c r="H76" s="3">
        <f t="shared" si="14"/>
        <v>1574206681.98736</v>
      </c>
      <c r="I76" s="3">
        <f t="shared" si="14"/>
        <v>245426689.21</v>
      </c>
      <c r="J76" s="3">
        <f t="shared" si="15"/>
        <v>51794201.004035</v>
      </c>
      <c r="K76" s="3">
        <f t="shared" si="16"/>
        <v>20450840.262</v>
      </c>
      <c r="L76" s="3">
        <f t="shared" si="17"/>
        <v>621572468.898372</v>
      </c>
      <c r="M76" s="3">
        <f t="shared" si="22"/>
        <v>2231048867.33316</v>
      </c>
      <c r="N76" s="3">
        <f t="shared" si="18"/>
        <v>61660182.1811731</v>
      </c>
      <c r="O76" s="3">
        <f t="shared" si="19"/>
        <v>1874068311.13388</v>
      </c>
      <c r="P76" s="3">
        <f t="shared" si="20"/>
        <v>739972254.192885</v>
      </c>
      <c r="Q76">
        <v>8</v>
      </c>
      <c r="R76">
        <v>5</v>
      </c>
      <c r="S76">
        <f>GDP!K89</f>
        <v>9324.8</v>
      </c>
      <c r="V76">
        <f t="shared" si="21"/>
        <v>-1.4945763199593</v>
      </c>
      <c r="X76" s="1">
        <f t="shared" si="23"/>
        <v>6690.85938700829</v>
      </c>
    </row>
    <row r="77" spans="1:24">
      <c r="A77" t="s">
        <v>117</v>
      </c>
      <c r="B77" s="3">
        <f>-CO2排放量!K90*100</f>
        <v>-41085.3264313333</v>
      </c>
      <c r="C77" s="3">
        <f>就业人口!K90</f>
        <v>1332.66</v>
      </c>
      <c r="D77" s="3">
        <f>资本存量!K90</f>
        <v>46154.8811797779</v>
      </c>
      <c r="E77" s="3">
        <f>能源消耗量!L90</f>
        <v>16302.2</v>
      </c>
      <c r="F77" s="3">
        <f t="shared" si="13"/>
        <v>50735.0264313333</v>
      </c>
      <c r="G77" s="3">
        <f t="shared" si="14"/>
        <v>1775982.6756</v>
      </c>
      <c r="H77" s="3">
        <f t="shared" si="14"/>
        <v>2130273056.71941</v>
      </c>
      <c r="I77" s="3">
        <f t="shared" si="14"/>
        <v>265761724.84</v>
      </c>
      <c r="J77" s="3">
        <f t="shared" si="15"/>
        <v>61508763.9530428</v>
      </c>
      <c r="K77" s="3">
        <f t="shared" si="16"/>
        <v>21725289.852</v>
      </c>
      <c r="L77" s="3">
        <f t="shared" si="17"/>
        <v>752426103.968975</v>
      </c>
      <c r="M77" s="3">
        <f t="shared" si="22"/>
        <v>2574042906.98809</v>
      </c>
      <c r="N77" s="3">
        <f t="shared" si="18"/>
        <v>67612540.3239807</v>
      </c>
      <c r="O77" s="3">
        <f t="shared" si="19"/>
        <v>2341669116.59108</v>
      </c>
      <c r="P77" s="3">
        <f t="shared" si="20"/>
        <v>827092547.888882</v>
      </c>
      <c r="Q77">
        <v>8</v>
      </c>
      <c r="R77">
        <v>6</v>
      </c>
      <c r="S77">
        <f>GDP!K90</f>
        <v>9649.7</v>
      </c>
      <c r="V77">
        <f t="shared" si="21"/>
        <v>-1.47940572872487</v>
      </c>
      <c r="X77" s="1">
        <f t="shared" si="23"/>
        <v>6759.47091851484</v>
      </c>
    </row>
    <row r="78" spans="1:24">
      <c r="A78" t="s">
        <v>118</v>
      </c>
      <c r="B78" s="3">
        <f>-CO2排放量!K91*100</f>
        <v>-45226.48373</v>
      </c>
      <c r="C78" s="3">
        <f>就业人口!K91</f>
        <v>1349.79</v>
      </c>
      <c r="D78" s="3">
        <f>资本存量!K91</f>
        <v>53813.1302865192</v>
      </c>
      <c r="E78" s="3">
        <f>能源消耗量!L91</f>
        <v>17386.3</v>
      </c>
      <c r="F78" s="3">
        <f t="shared" si="13"/>
        <v>56108.44373</v>
      </c>
      <c r="G78" s="3">
        <f t="shared" si="14"/>
        <v>1821933.0441</v>
      </c>
      <c r="H78" s="3">
        <f t="shared" si="14"/>
        <v>2895852991.23389</v>
      </c>
      <c r="I78" s="3">
        <f t="shared" si="14"/>
        <v>302283427.69</v>
      </c>
      <c r="J78" s="3">
        <f t="shared" si="15"/>
        <v>72636425.1294408</v>
      </c>
      <c r="K78" s="3">
        <f t="shared" si="16"/>
        <v>23467853.877</v>
      </c>
      <c r="L78" s="3">
        <f t="shared" si="17"/>
        <v>935611227.100509</v>
      </c>
      <c r="M78" s="3">
        <f t="shared" si="22"/>
        <v>3148157457.80258</v>
      </c>
      <c r="N78" s="3">
        <f t="shared" si="18"/>
        <v>75734616.2623167</v>
      </c>
      <c r="O78" s="3">
        <f t="shared" si="19"/>
        <v>3019370992.61632</v>
      </c>
      <c r="P78" s="3">
        <f t="shared" si="20"/>
        <v>975518235.222899</v>
      </c>
      <c r="Q78">
        <v>8</v>
      </c>
      <c r="R78">
        <v>7</v>
      </c>
      <c r="S78">
        <f>GDP!K91</f>
        <v>10881.96</v>
      </c>
      <c r="V78">
        <f t="shared" si="21"/>
        <v>-1.45875715114459</v>
      </c>
      <c r="X78" s="1">
        <f t="shared" si="23"/>
        <v>6855.15062747329</v>
      </c>
    </row>
    <row r="79" spans="1:24">
      <c r="A79" t="s">
        <v>119</v>
      </c>
      <c r="B79" s="3">
        <f>-CO2排放量!K92*100</f>
        <v>-48094.6054513333</v>
      </c>
      <c r="C79" s="3">
        <f>就业人口!K92</f>
        <v>1343.95</v>
      </c>
      <c r="D79" s="3">
        <f>资本存量!K92</f>
        <v>58236.1579386534</v>
      </c>
      <c r="E79" s="3">
        <f>能源消耗量!L92</f>
        <v>17694</v>
      </c>
      <c r="F79" s="3">
        <f t="shared" si="13"/>
        <v>60903.9954513333</v>
      </c>
      <c r="G79" s="3">
        <f t="shared" si="14"/>
        <v>1806201.6025</v>
      </c>
      <c r="H79" s="3">
        <f t="shared" si="14"/>
        <v>3391450091.45578</v>
      </c>
      <c r="I79" s="3">
        <f t="shared" si="14"/>
        <v>313077636</v>
      </c>
      <c r="J79" s="3">
        <f t="shared" si="15"/>
        <v>78266484.4616532</v>
      </c>
      <c r="K79" s="3">
        <f t="shared" si="16"/>
        <v>23779851.3</v>
      </c>
      <c r="L79" s="3">
        <f t="shared" si="17"/>
        <v>1030430578.56653</v>
      </c>
      <c r="M79" s="3">
        <f t="shared" si="22"/>
        <v>3709296661.93603</v>
      </c>
      <c r="N79" s="3">
        <f t="shared" si="18"/>
        <v>81851924.6868194</v>
      </c>
      <c r="O79" s="3">
        <f t="shared" si="19"/>
        <v>3546814698.19887</v>
      </c>
      <c r="P79" s="3">
        <f t="shared" si="20"/>
        <v>1077635295.51589</v>
      </c>
      <c r="Q79">
        <v>8</v>
      </c>
      <c r="R79">
        <v>8</v>
      </c>
      <c r="S79">
        <f>GDP!K92</f>
        <v>12809.39</v>
      </c>
      <c r="V79">
        <f t="shared" si="21"/>
        <v>-1.47270992313405</v>
      </c>
      <c r="X79" s="1">
        <f t="shared" si="23"/>
        <v>6790.20344937933</v>
      </c>
    </row>
    <row r="80" spans="1:24">
      <c r="A80" t="s">
        <v>120</v>
      </c>
      <c r="B80" s="3">
        <f>-CO2排放量!K93*100</f>
        <v>-51930.5165726667</v>
      </c>
      <c r="C80" s="3">
        <f>就业人口!K93</f>
        <v>1355.06</v>
      </c>
      <c r="D80" s="3">
        <f>资本存量!K93</f>
        <v>63004.5787154017</v>
      </c>
      <c r="E80" s="3">
        <f>能源消耗量!L93</f>
        <v>18489.8</v>
      </c>
      <c r="F80" s="3">
        <f t="shared" si="13"/>
        <v>65527.6265726667</v>
      </c>
      <c r="G80" s="3">
        <f t="shared" si="14"/>
        <v>1836187.6036</v>
      </c>
      <c r="H80" s="3">
        <f t="shared" si="14"/>
        <v>3969576939.10525</v>
      </c>
      <c r="I80" s="3">
        <f t="shared" si="14"/>
        <v>341872704.04</v>
      </c>
      <c r="J80" s="3">
        <f t="shared" si="15"/>
        <v>85374984.4340923</v>
      </c>
      <c r="K80" s="3">
        <f t="shared" si="16"/>
        <v>25054788.388</v>
      </c>
      <c r="L80" s="3">
        <f t="shared" si="17"/>
        <v>1164942059.53203</v>
      </c>
      <c r="M80" s="3">
        <f t="shared" si="22"/>
        <v>4293869844.24685</v>
      </c>
      <c r="N80" s="3">
        <f t="shared" si="18"/>
        <v>88793865.6635577</v>
      </c>
      <c r="O80" s="3">
        <f t="shared" si="19"/>
        <v>4128540506.43103</v>
      </c>
      <c r="P80" s="3">
        <f t="shared" si="20"/>
        <v>1211592709.80329</v>
      </c>
      <c r="Q80">
        <v>8</v>
      </c>
      <c r="R80">
        <v>9</v>
      </c>
      <c r="S80">
        <f>GDP!K93</f>
        <v>13597.11</v>
      </c>
      <c r="V80">
        <f t="shared" si="21"/>
        <v>-1.46386295157098</v>
      </c>
      <c r="X80" s="1">
        <f t="shared" si="23"/>
        <v>6831.24058114063</v>
      </c>
    </row>
    <row r="81" spans="1:24">
      <c r="A81" t="s">
        <v>121</v>
      </c>
      <c r="B81" s="3">
        <f>-CO2排放量!K94*100</f>
        <v>-55546.73467</v>
      </c>
      <c r="C81" s="3">
        <f>就业人口!K94</f>
        <v>1369.07</v>
      </c>
      <c r="D81" s="3">
        <f>资本存量!K94</f>
        <v>69449.2040369872</v>
      </c>
      <c r="E81" s="3">
        <f>能源消耗量!L94</f>
        <v>18981.8</v>
      </c>
      <c r="F81" s="3">
        <f t="shared" si="13"/>
        <v>69344.31467</v>
      </c>
      <c r="G81" s="3">
        <f t="shared" si="14"/>
        <v>1874352.6649</v>
      </c>
      <c r="H81" s="3">
        <f t="shared" si="14"/>
        <v>4823191941.37108</v>
      </c>
      <c r="I81" s="3">
        <f t="shared" si="14"/>
        <v>360308731.24</v>
      </c>
      <c r="J81" s="3">
        <f t="shared" si="15"/>
        <v>95080821.7709181</v>
      </c>
      <c r="K81" s="3">
        <f t="shared" si="16"/>
        <v>25987412.926</v>
      </c>
      <c r="L81" s="3">
        <f t="shared" si="17"/>
        <v>1318270901.18928</v>
      </c>
      <c r="M81" s="3">
        <f t="shared" si="22"/>
        <v>4808633977.05198</v>
      </c>
      <c r="N81" s="3">
        <f t="shared" si="18"/>
        <v>94937220.8852569</v>
      </c>
      <c r="O81" s="3">
        <f t="shared" si="19"/>
        <v>4815907458.32188</v>
      </c>
      <c r="P81" s="3">
        <f t="shared" si="20"/>
        <v>1316279912.20301</v>
      </c>
      <c r="Q81">
        <v>8</v>
      </c>
      <c r="R81">
        <v>10</v>
      </c>
      <c r="S81">
        <f>GDP!K94</f>
        <v>13797.58</v>
      </c>
      <c r="V81">
        <f t="shared" si="21"/>
        <v>-1.45904075177453</v>
      </c>
      <c r="X81" s="1">
        <f t="shared" si="23"/>
        <v>6853.81815952551</v>
      </c>
    </row>
    <row r="82" spans="5:5">
      <c r="E82" s="3"/>
    </row>
  </sheetData>
  <pageMargins left="0.7" right="0.7" top="0.75" bottom="0.75" header="0.3" footer="0.3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S81"/>
  <sheetViews>
    <sheetView topLeftCell="M1" workbookViewId="0">
      <selection activeCell="B4" sqref="B4"/>
    </sheetView>
  </sheetViews>
  <sheetFormatPr defaultColWidth="9" defaultRowHeight="14"/>
  <cols>
    <col min="3" max="3" width="9.10833333333333" customWidth="1"/>
    <col min="8" max="8" width="14.2166666666667" customWidth="1"/>
    <col min="9" max="9" width="13.2166666666667" customWidth="1"/>
    <col min="10" max="10" width="11.2166666666667" customWidth="1"/>
    <col min="11" max="11" width="12" customWidth="1"/>
    <col min="12" max="12" width="9.55833333333333" customWidth="1"/>
    <col min="13" max="13" width="14.775" customWidth="1"/>
    <col min="14" max="14" width="12.8833333333333" customWidth="1"/>
    <col min="15" max="15" width="13.6666666666667" customWidth="1"/>
    <col min="16" max="16" width="13.2166666666667" customWidth="1"/>
  </cols>
  <sheetData>
    <row r="1" spans="2:16">
      <c r="B1" t="s">
        <v>122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  <c r="O1" s="3" t="s">
        <v>25</v>
      </c>
      <c r="P1" s="3" t="s">
        <v>26</v>
      </c>
    </row>
    <row r="2" spans="2:19">
      <c r="B2">
        <f>-LN(-'用于回归的形式 (2)'!B2)</f>
        <v>-9.74450919553326</v>
      </c>
      <c r="C2">
        <f>LN('用于回归的形式 (2)'!C2)</f>
        <v>7.00699409521492</v>
      </c>
      <c r="D2">
        <f>LN('用于回归的形式 (2)'!D2)</f>
        <v>10.2408970524124</v>
      </c>
      <c r="E2">
        <f>LN('用于回归的形式 (2)'!E2)</f>
        <v>9.25809094834237</v>
      </c>
      <c r="F2">
        <f>S2-B2</f>
        <v>19.6069502491833</v>
      </c>
      <c r="G2">
        <f t="shared" ref="G2:I33" si="0">C2*C2</f>
        <v>49.0979662503767</v>
      </c>
      <c r="H2">
        <f t="shared" si="0"/>
        <v>104.875972438109</v>
      </c>
      <c r="I2">
        <f t="shared" si="0"/>
        <v>85.712248007779</v>
      </c>
      <c r="J2">
        <f t="shared" ref="J2:J65" si="1">C2*D2</f>
        <v>71.7579051759574</v>
      </c>
      <c r="K2">
        <f t="shared" ref="K2:K65" si="2">C2*E2</f>
        <v>64.8713886079977</v>
      </c>
      <c r="L2">
        <f t="shared" ref="L2:L65" si="3">D2*E2</f>
        <v>94.8111563038452</v>
      </c>
      <c r="M2">
        <f>F2*F2</f>
        <v>384.432498073947</v>
      </c>
      <c r="N2">
        <f t="shared" ref="N2:N65" si="4">C2*F2</f>
        <v>137.3857846212</v>
      </c>
      <c r="O2">
        <f t="shared" ref="O2:O65" si="5">D2*F2</f>
        <v>200.792759013657</v>
      </c>
      <c r="P2">
        <f t="shared" ref="P2:P65" si="6">E2*F2</f>
        <v>181.522928626563</v>
      </c>
      <c r="S2">
        <f>LN('用于回归的形式 (2)'!S2)</f>
        <v>9.86244105364999</v>
      </c>
    </row>
    <row r="3" spans="2:19">
      <c r="B3">
        <f>-LN(-'用于回归的形式 (2)'!B3)</f>
        <v>-9.73222890253433</v>
      </c>
      <c r="C3">
        <f>LN('用于回归的形式 (2)'!C3)</f>
        <v>7.01705801387259</v>
      </c>
      <c r="D3">
        <f>LN('用于回归的形式 (2)'!D3)</f>
        <v>10.3284322007471</v>
      </c>
      <c r="E3">
        <f>LN('用于回归的形式 (2)'!E3)</f>
        <v>9.26605886073253</v>
      </c>
      <c r="F3">
        <f t="shared" ref="F3:F66" si="7">S3-B3</f>
        <v>19.6447614257137</v>
      </c>
      <c r="G3">
        <f t="shared" si="0"/>
        <v>49.2391031700535</v>
      </c>
      <c r="H3">
        <f t="shared" si="0"/>
        <v>106.67651172543</v>
      </c>
      <c r="I3">
        <f t="shared" si="0"/>
        <v>85.8598468105598</v>
      </c>
      <c r="J3">
        <f t="shared" si="1"/>
        <v>72.4752079449921</v>
      </c>
      <c r="K3">
        <f t="shared" si="2"/>
        <v>65.0204725857183</v>
      </c>
      <c r="L3">
        <f t="shared" si="3"/>
        <v>95.7038607112078</v>
      </c>
      <c r="M3">
        <f t="shared" ref="M3:M66" si="8">F3*F3</f>
        <v>385.916651473208</v>
      </c>
      <c r="N3">
        <f t="shared" si="4"/>
        <v>137.848430592919</v>
      </c>
      <c r="O3">
        <f t="shared" si="5"/>
        <v>202.899586485336</v>
      </c>
      <c r="P3">
        <f t="shared" si="6"/>
        <v>182.029515675711</v>
      </c>
      <c r="S3">
        <f>LN('用于回归的形式 (2)'!S3)</f>
        <v>9.91253252317935</v>
      </c>
    </row>
    <row r="4" spans="2:19">
      <c r="B4">
        <f>-LN(-'用于回归的形式 (2)'!B4)</f>
        <v>-9.80798341931405</v>
      </c>
      <c r="C4">
        <f>LN('用于回归的形式 (2)'!C4)</f>
        <v>7.03645627399787</v>
      </c>
      <c r="D4">
        <f>LN('用于回归的形式 (2)'!D4)</f>
        <v>10.4133503352126</v>
      </c>
      <c r="E4">
        <f>LN('用于回归的形式 (2)'!E4)</f>
        <v>9.29563602795792</v>
      </c>
      <c r="F4">
        <f t="shared" si="7"/>
        <v>19.7984808905054</v>
      </c>
      <c r="G4">
        <f t="shared" si="0"/>
        <v>49.511716895884</v>
      </c>
      <c r="H4">
        <f t="shared" si="0"/>
        <v>108.437865203872</v>
      </c>
      <c r="I4">
        <f t="shared" si="0"/>
        <v>86.4088491642694</v>
      </c>
      <c r="J4">
        <f t="shared" si="1"/>
        <v>73.2730842995445</v>
      </c>
      <c r="K4">
        <f t="shared" si="2"/>
        <v>65.4083364497252</v>
      </c>
      <c r="L4">
        <f t="shared" si="3"/>
        <v>96.79871454775</v>
      </c>
      <c r="M4">
        <f t="shared" si="8"/>
        <v>391.979845571708</v>
      </c>
      <c r="N4">
        <f t="shared" si="4"/>
        <v>139.311145077624</v>
      </c>
      <c r="O4">
        <f t="shared" si="5"/>
        <v>206.168517617845</v>
      </c>
      <c r="P4">
        <f t="shared" si="6"/>
        <v>184.039472264619</v>
      </c>
      <c r="S4">
        <f>LN('用于回归的形式 (2)'!S4)</f>
        <v>9.99049747119136</v>
      </c>
    </row>
    <row r="5" spans="2:19">
      <c r="B5">
        <f>-LN(-'用于回归的形式 (2)'!B5)</f>
        <v>-9.6585237409498</v>
      </c>
      <c r="C5">
        <f>LN('用于回归的形式 (2)'!C5)</f>
        <v>7.21937113960448</v>
      </c>
      <c r="D5">
        <f>LN('用于回归的形式 (2)'!D5)</f>
        <v>10.4946231503058</v>
      </c>
      <c r="E5">
        <f>LN('用于回归的形式 (2)'!E5)</f>
        <v>9.27236260491433</v>
      </c>
      <c r="F5">
        <f t="shared" si="7"/>
        <v>19.7261559530581</v>
      </c>
      <c r="G5">
        <f t="shared" si="0"/>
        <v>52.1193196513541</v>
      </c>
      <c r="H5">
        <f t="shared" si="0"/>
        <v>110.137115066935</v>
      </c>
      <c r="I5">
        <f t="shared" si="0"/>
        <v>85.9767082770137</v>
      </c>
      <c r="J5">
        <f t="shared" si="1"/>
        <v>75.7645794923429</v>
      </c>
      <c r="K5">
        <f t="shared" si="2"/>
        <v>66.9406269858664</v>
      </c>
      <c r="L5">
        <f t="shared" si="3"/>
        <v>97.309951251564</v>
      </c>
      <c r="M5">
        <f t="shared" si="8"/>
        <v>389.121228684371</v>
      </c>
      <c r="N5">
        <f t="shared" si="4"/>
        <v>142.410440982845</v>
      </c>
      <c r="O5">
        <f t="shared" si="5"/>
        <v>207.018572931507</v>
      </c>
      <c r="P5">
        <f t="shared" si="6"/>
        <v>182.908070797845</v>
      </c>
      <c r="S5">
        <f>LN('用于回归的形式 (2)'!S5)</f>
        <v>10.0676322121083</v>
      </c>
    </row>
    <row r="6" spans="2:19">
      <c r="B6">
        <f>-LN(-'用于回归的形式 (2)'!B6)</f>
        <v>-9.69058439767526</v>
      </c>
      <c r="C6">
        <f>LN('用于回归的形式 (2)'!C6)</f>
        <v>7.21634965692709</v>
      </c>
      <c r="D6">
        <f>LN('用于回归的形式 (2)'!D6)</f>
        <v>10.5714674361263</v>
      </c>
      <c r="E6">
        <f>LN('用于回归的形式 (2)'!E6)</f>
        <v>9.29931507038838</v>
      </c>
      <c r="F6">
        <f t="shared" si="7"/>
        <v>19.8221413495913</v>
      </c>
      <c r="G6">
        <f t="shared" si="0"/>
        <v>52.0757023710317</v>
      </c>
      <c r="H6">
        <f t="shared" si="0"/>
        <v>111.755923753079</v>
      </c>
      <c r="I6">
        <f t="shared" si="0"/>
        <v>86.4772607783524</v>
      </c>
      <c r="J6">
        <f t="shared" si="1"/>
        <v>76.2874054059059</v>
      </c>
      <c r="K6">
        <f t="shared" si="2"/>
        <v>67.1071091178541</v>
      </c>
      <c r="L6">
        <f t="shared" si="3"/>
        <v>98.3074064448893</v>
      </c>
      <c r="M6">
        <f t="shared" si="8"/>
        <v>392.917287683179</v>
      </c>
      <c r="N6">
        <f t="shared" si="4"/>
        <v>143.043502927684</v>
      </c>
      <c r="O6">
        <f t="shared" si="5"/>
        <v>209.549121791498</v>
      </c>
      <c r="P6">
        <f t="shared" si="6"/>
        <v>184.332337779623</v>
      </c>
      <c r="S6">
        <f>LN('用于回归的形式 (2)'!S6)</f>
        <v>10.1315569519161</v>
      </c>
    </row>
    <row r="7" spans="2:19">
      <c r="B7">
        <f>-LN(-'用于回归的形式 (2)'!B7)</f>
        <v>-9.66918968743792</v>
      </c>
      <c r="C7">
        <f>LN('用于回归的形式 (2)'!C7)</f>
        <v>7.21908551633963</v>
      </c>
      <c r="D7">
        <f>LN('用于回归的形式 (2)'!D7)</f>
        <v>10.6458340234592</v>
      </c>
      <c r="E7">
        <f>LN('用于回归的形式 (2)'!E7)</f>
        <v>9.32738802619479</v>
      </c>
      <c r="F7">
        <f t="shared" si="7"/>
        <v>19.9155095654265</v>
      </c>
      <c r="G7">
        <f t="shared" si="0"/>
        <v>52.1151956922246</v>
      </c>
      <c r="H7">
        <f t="shared" si="0"/>
        <v>113.333782055042</v>
      </c>
      <c r="I7">
        <f t="shared" si="0"/>
        <v>87.000167391202</v>
      </c>
      <c r="J7">
        <f t="shared" si="1"/>
        <v>76.8531862081101</v>
      </c>
      <c r="K7">
        <f t="shared" si="2"/>
        <v>67.3352118051825</v>
      </c>
      <c r="L7">
        <f t="shared" si="3"/>
        <v>99.2978247992707</v>
      </c>
      <c r="M7">
        <f t="shared" si="8"/>
        <v>396.627521250595</v>
      </c>
      <c r="N7">
        <f t="shared" si="4"/>
        <v>143.771766654294</v>
      </c>
      <c r="O7">
        <f t="shared" si="5"/>
        <v>212.017209326145</v>
      </c>
      <c r="P7">
        <f t="shared" si="6"/>
        <v>185.759685456127</v>
      </c>
      <c r="S7">
        <f>LN('用于回归的形式 (2)'!S7)</f>
        <v>10.2463198779886</v>
      </c>
    </row>
    <row r="8" spans="2:19">
      <c r="B8">
        <f>-LN(-'用于回归的形式 (2)'!B8)</f>
        <v>-9.65872479262809</v>
      </c>
      <c r="C8">
        <f>LN('用于回归的形式 (2)'!C8)</f>
        <v>7.2244984570295</v>
      </c>
      <c r="D8">
        <f>LN('用于回归的形式 (2)'!D8)</f>
        <v>10.7195188888078</v>
      </c>
      <c r="E8">
        <f>LN('用于回归的形式 (2)'!E8)</f>
        <v>9.33977526037302</v>
      </c>
      <c r="F8">
        <f t="shared" si="7"/>
        <v>19.9885576044063</v>
      </c>
      <c r="G8">
        <f t="shared" si="0"/>
        <v>52.1933779556216</v>
      </c>
      <c r="H8">
        <f t="shared" si="0"/>
        <v>114.908085207507</v>
      </c>
      <c r="I8">
        <f t="shared" si="0"/>
        <v>87.2314019142758</v>
      </c>
      <c r="J8">
        <f t="shared" si="1"/>
        <v>77.4431476722903</v>
      </c>
      <c r="K8">
        <f t="shared" si="2"/>
        <v>67.4751919575671</v>
      </c>
      <c r="L8">
        <f t="shared" si="3"/>
        <v>100.117897320788</v>
      </c>
      <c r="M8">
        <f t="shared" si="8"/>
        <v>399.542435104671</v>
      </c>
      <c r="N8">
        <f t="shared" si="4"/>
        <v>144.407303571279</v>
      </c>
      <c r="O8">
        <f t="shared" si="5"/>
        <v>214.267720800456</v>
      </c>
      <c r="P8">
        <f t="shared" si="6"/>
        <v>186.688635804175</v>
      </c>
      <c r="S8">
        <f>LN('用于回归的形式 (2)'!S8)</f>
        <v>10.3298328117783</v>
      </c>
    </row>
    <row r="9" spans="2:19">
      <c r="B9">
        <f>-LN(-'用于回归的形式 (2)'!B9)</f>
        <v>-9.62558734605503</v>
      </c>
      <c r="C9">
        <f>LN('用于回归的形式 (2)'!C9)</f>
        <v>7.22668889493752</v>
      </c>
      <c r="D9">
        <f>LN('用于回归的形式 (2)'!D9)</f>
        <v>10.7895554807484</v>
      </c>
      <c r="E9">
        <f>LN('用于回归的形式 (2)'!E9)</f>
        <v>9.34607072012489</v>
      </c>
      <c r="F9">
        <f t="shared" si="7"/>
        <v>20.117189842937</v>
      </c>
      <c r="G9">
        <f t="shared" si="0"/>
        <v>52.2250323842133</v>
      </c>
      <c r="H9">
        <f t="shared" si="0"/>
        <v>116.414507472147</v>
      </c>
      <c r="I9">
        <f t="shared" si="0"/>
        <v>87.3490379055758</v>
      </c>
      <c r="J9">
        <f t="shared" si="1"/>
        <v>77.9727607740366</v>
      </c>
      <c r="K9">
        <f t="shared" si="2"/>
        <v>67.5411454844273</v>
      </c>
      <c r="L9">
        <f t="shared" si="3"/>
        <v>100.839948561785</v>
      </c>
      <c r="M9">
        <f t="shared" si="8"/>
        <v>404.701327176769</v>
      </c>
      <c r="N9">
        <f t="shared" si="4"/>
        <v>145.380672435303</v>
      </c>
      <c r="O9">
        <f t="shared" si="5"/>
        <v>217.055535927117</v>
      </c>
      <c r="P9">
        <f t="shared" si="6"/>
        <v>188.016678962268</v>
      </c>
      <c r="S9">
        <f>LN('用于回归的形式 (2)'!S9)</f>
        <v>10.491602496882</v>
      </c>
    </row>
    <row r="10" spans="2:19">
      <c r="B10">
        <f>-LN(-'用于回归的形式 (2)'!B10)</f>
        <v>-9.67719720278274</v>
      </c>
      <c r="C10">
        <f>LN('用于回归的形式 (2)'!C10)</f>
        <v>7.22708135676838</v>
      </c>
      <c r="D10">
        <f>LN('用于回归的形式 (2)'!D10)</f>
        <v>10.8564300062534</v>
      </c>
      <c r="E10">
        <f>LN('用于回归的形式 (2)'!E10)</f>
        <v>9.36704151090153</v>
      </c>
      <c r="F10">
        <f t="shared" si="7"/>
        <v>20.2266176793144</v>
      </c>
      <c r="G10">
        <f t="shared" si="0"/>
        <v>52.2307049373491</v>
      </c>
      <c r="H10">
        <f t="shared" si="0"/>
        <v>117.86207248068</v>
      </c>
      <c r="I10">
        <f t="shared" si="0"/>
        <v>87.7414666669524</v>
      </c>
      <c r="J10">
        <f t="shared" si="1"/>
        <v>78.4603028992551</v>
      </c>
      <c r="K10">
        <f t="shared" si="2"/>
        <v>67.696371071512</v>
      </c>
      <c r="L10">
        <f t="shared" si="3"/>
        <v>101.692630528773</v>
      </c>
      <c r="M10">
        <f t="shared" si="8"/>
        <v>409.116062745156</v>
      </c>
      <c r="N10">
        <f t="shared" si="4"/>
        <v>146.179411540655</v>
      </c>
      <c r="O10">
        <f t="shared" si="5"/>
        <v>219.588859098726</v>
      </c>
      <c r="P10">
        <f t="shared" si="6"/>
        <v>189.463567427273</v>
      </c>
      <c r="S10">
        <f>LN('用于回归的形式 (2)'!S10)</f>
        <v>10.5494204765317</v>
      </c>
    </row>
    <row r="11" spans="2:19">
      <c r="B11">
        <f>-LN(-'用于回归的形式 (2)'!B11)</f>
        <v>-9.64618518654316</v>
      </c>
      <c r="C11">
        <f>LN('用于回归的形式 (2)'!C11)</f>
        <v>7.2254814727823</v>
      </c>
      <c r="D11">
        <f>LN('用于回归的形式 (2)'!D11)</f>
        <v>10.9281817905231</v>
      </c>
      <c r="E11">
        <f>LN('用于回归的形式 (2)'!E11)</f>
        <v>9.3146634496813</v>
      </c>
      <c r="F11">
        <f t="shared" si="7"/>
        <v>20.2097950525288</v>
      </c>
      <c r="G11">
        <f t="shared" si="0"/>
        <v>52.2075825135202</v>
      </c>
      <c r="H11">
        <f t="shared" si="0"/>
        <v>119.425157246721</v>
      </c>
      <c r="I11">
        <f t="shared" si="0"/>
        <v>86.7629551808288</v>
      </c>
      <c r="J11">
        <f t="shared" si="1"/>
        <v>78.9613750586215</v>
      </c>
      <c r="K11">
        <f t="shared" si="2"/>
        <v>67.3029281808747</v>
      </c>
      <c r="L11">
        <f t="shared" si="3"/>
        <v>101.792335495658</v>
      </c>
      <c r="M11">
        <f t="shared" si="8"/>
        <v>408.435816065219</v>
      </c>
      <c r="N11">
        <f t="shared" si="4"/>
        <v>146.025499720774</v>
      </c>
      <c r="O11">
        <f t="shared" si="5"/>
        <v>220.856314283249</v>
      </c>
      <c r="P11">
        <f t="shared" si="6"/>
        <v>188.24743930134</v>
      </c>
      <c r="S11">
        <f>LN('用于回归的形式 (2)'!S11)</f>
        <v>10.5636098659857</v>
      </c>
    </row>
    <row r="12" spans="2:19">
      <c r="B12">
        <f>-LN(-'用于回归的形式 (2)'!B12)</f>
        <v>-11.0237111072863</v>
      </c>
      <c r="C12">
        <f>LN('用于回归的形式 (2)'!C12)</f>
        <v>8.46763102933308</v>
      </c>
      <c r="D12">
        <f>LN('用于回归的形式 (2)'!D12)</f>
        <v>11.3623443696911</v>
      </c>
      <c r="E12">
        <f>LN('用于回归的形式 (2)'!E12)</f>
        <v>10.2251713341477</v>
      </c>
      <c r="F12">
        <f t="shared" si="7"/>
        <v>21.8255345641664</v>
      </c>
      <c r="G12">
        <f t="shared" si="0"/>
        <v>71.7007752489245</v>
      </c>
      <c r="H12">
        <f t="shared" si="0"/>
        <v>129.102869575452</v>
      </c>
      <c r="I12">
        <f t="shared" si="0"/>
        <v>104.554128812675</v>
      </c>
      <c r="J12">
        <f t="shared" si="1"/>
        <v>96.2121397507647</v>
      </c>
      <c r="K12">
        <f t="shared" si="2"/>
        <v>86.5829780692759</v>
      </c>
      <c r="L12">
        <f t="shared" si="3"/>
        <v>116.18191793768</v>
      </c>
      <c r="M12">
        <f t="shared" si="8"/>
        <v>476.353959011621</v>
      </c>
      <c r="N12">
        <f t="shared" si="4"/>
        <v>184.810573707317</v>
      </c>
      <c r="O12">
        <f t="shared" si="5"/>
        <v>247.989239770655</v>
      </c>
      <c r="P12">
        <f t="shared" si="6"/>
        <v>223.169830377963</v>
      </c>
      <c r="S12">
        <f>LN('用于回归的形式 (2)'!S12)</f>
        <v>10.8018234568801</v>
      </c>
    </row>
    <row r="13" spans="2:19">
      <c r="B13">
        <f>-LN(-'用于回归的形式 (2)'!B13)</f>
        <v>-11.0348712525889</v>
      </c>
      <c r="C13">
        <f>LN('用于回归的形式 (2)'!C13)</f>
        <v>8.4679042028546</v>
      </c>
      <c r="D13">
        <f>LN('用于回归的形式 (2)'!D13)</f>
        <v>11.6034001575451</v>
      </c>
      <c r="E13">
        <f>LN('用于回归的形式 (2)'!E13)</f>
        <v>10.2698597259937</v>
      </c>
      <c r="F13">
        <f t="shared" si="7"/>
        <v>21.9326881454992</v>
      </c>
      <c r="G13">
        <f t="shared" si="0"/>
        <v>71.7054015887227</v>
      </c>
      <c r="H13">
        <f t="shared" si="0"/>
        <v>134.638895216118</v>
      </c>
      <c r="I13">
        <f t="shared" si="0"/>
        <v>105.470018791586</v>
      </c>
      <c r="J13">
        <f t="shared" si="1"/>
        <v>98.2564809614802</v>
      </c>
      <c r="K13">
        <f t="shared" si="2"/>
        <v>86.9641883364689</v>
      </c>
      <c r="L13">
        <f t="shared" si="3"/>
        <v>119.165291962561</v>
      </c>
      <c r="M13">
        <f t="shared" si="8"/>
        <v>481.04280928772</v>
      </c>
      <c r="N13">
        <f t="shared" si="4"/>
        <v>185.723902127172</v>
      </c>
      <c r="O13">
        <f t="shared" si="5"/>
        <v>254.493757082873</v>
      </c>
      <c r="P13">
        <f t="shared" si="6"/>
        <v>225.24563066824</v>
      </c>
      <c r="S13">
        <f>LN('用于回归的形式 (2)'!S13)</f>
        <v>10.8978168929103</v>
      </c>
    </row>
    <row r="14" spans="2:19">
      <c r="B14">
        <f>-LN(-'用于回归的形式 (2)'!B14)</f>
        <v>-11.064199377936</v>
      </c>
      <c r="C14">
        <f>LN('用于回归的形式 (2)'!C14)</f>
        <v>8.46797983771475</v>
      </c>
      <c r="D14">
        <f>LN('用于回归的形式 (2)'!D14)</f>
        <v>11.812606559078</v>
      </c>
      <c r="E14">
        <f>LN('用于回归的形式 (2)'!E14)</f>
        <v>10.2821082178604</v>
      </c>
      <c r="F14">
        <f t="shared" si="7"/>
        <v>22.0621802478129</v>
      </c>
      <c r="G14">
        <f t="shared" si="0"/>
        <v>71.7066825319434</v>
      </c>
      <c r="H14">
        <f t="shared" si="0"/>
        <v>139.537673719574</v>
      </c>
      <c r="I14">
        <f t="shared" si="0"/>
        <v>105.721749403792</v>
      </c>
      <c r="J14">
        <f t="shared" si="1"/>
        <v>100.02891417313</v>
      </c>
      <c r="K14">
        <f t="shared" si="2"/>
        <v>87.068685078043</v>
      </c>
      <c r="L14">
        <f t="shared" si="3"/>
        <v>121.458498975448</v>
      </c>
      <c r="M14">
        <f t="shared" si="8"/>
        <v>486.739797286984</v>
      </c>
      <c r="N14">
        <f t="shared" si="4"/>
        <v>186.822097514508</v>
      </c>
      <c r="O14">
        <f t="shared" si="5"/>
        <v>260.611855102876</v>
      </c>
      <c r="P14">
        <f t="shared" si="6"/>
        <v>226.845724829954</v>
      </c>
      <c r="S14">
        <f>LN('用于回归的形式 (2)'!S14)</f>
        <v>10.9979808698769</v>
      </c>
    </row>
    <row r="15" spans="2:19">
      <c r="B15">
        <f>-LN(-'用于回归的形式 (2)'!B15)</f>
        <v>-11.0366158737105</v>
      </c>
      <c r="C15">
        <f>LN('用于回归的形式 (2)'!C15)</f>
        <v>8.46817730177273</v>
      </c>
      <c r="D15">
        <f>LN('用于回归的形式 (2)'!D15)</f>
        <v>12.0048194744909</v>
      </c>
      <c r="E15">
        <f>LN('用于回归的形式 (2)'!E15)</f>
        <v>10.3043765394883</v>
      </c>
      <c r="F15">
        <f t="shared" si="7"/>
        <v>22.1201162695275</v>
      </c>
      <c r="G15">
        <f t="shared" si="0"/>
        <v>71.7100268142589</v>
      </c>
      <c r="H15">
        <f t="shared" si="0"/>
        <v>144.115690615116</v>
      </c>
      <c r="I15">
        <f t="shared" si="0"/>
        <v>106.180175867557</v>
      </c>
      <c r="J15">
        <f t="shared" si="1"/>
        <v>101.658939785763</v>
      </c>
      <c r="K15">
        <f t="shared" si="2"/>
        <v>87.2592875206142</v>
      </c>
      <c r="L15">
        <f t="shared" si="3"/>
        <v>123.702180153736</v>
      </c>
      <c r="M15">
        <f t="shared" si="8"/>
        <v>489.299543777415</v>
      </c>
      <c r="N15">
        <f t="shared" si="4"/>
        <v>187.317066506186</v>
      </c>
      <c r="O15">
        <f t="shared" si="5"/>
        <v>265.548002570427</v>
      </c>
      <c r="P15">
        <f t="shared" si="6"/>
        <v>227.934007138472</v>
      </c>
      <c r="S15">
        <f>LN('用于回归的形式 (2)'!S15)</f>
        <v>11.083500395817</v>
      </c>
    </row>
    <row r="16" spans="2:19">
      <c r="B16">
        <f>-LN(-'用于回归的形式 (2)'!B16)</f>
        <v>-11.0574734272715</v>
      </c>
      <c r="C16">
        <f>LN('用于回归的形式 (2)'!C16)</f>
        <v>8.4676877715124</v>
      </c>
      <c r="D16">
        <f>LN('用于回归的形式 (2)'!D16)</f>
        <v>12.1743048698366</v>
      </c>
      <c r="E16">
        <f>LN('用于回归的形式 (2)'!E16)</f>
        <v>10.3213468674848</v>
      </c>
      <c r="F16">
        <f t="shared" si="7"/>
        <v>22.2153851391896</v>
      </c>
      <c r="G16">
        <f t="shared" si="0"/>
        <v>71.7017361958206</v>
      </c>
      <c r="H16">
        <f t="shared" si="0"/>
        <v>148.213699063726</v>
      </c>
      <c r="I16">
        <f t="shared" si="0"/>
        <v>106.530201158939</v>
      </c>
      <c r="J16">
        <f t="shared" si="1"/>
        <v>103.088212472979</v>
      </c>
      <c r="K16">
        <f t="shared" si="2"/>
        <v>87.3979426553392</v>
      </c>
      <c r="L16">
        <f t="shared" si="3"/>
        <v>125.655223432093</v>
      </c>
      <c r="M16">
        <f t="shared" si="8"/>
        <v>493.523336882528</v>
      </c>
      <c r="N16">
        <f t="shared" si="4"/>
        <v>188.112945082554</v>
      </c>
      <c r="O16">
        <f t="shared" si="5"/>
        <v>270.456871485331</v>
      </c>
      <c r="P16">
        <f t="shared" si="6"/>
        <v>229.292695816344</v>
      </c>
      <c r="S16">
        <f>LN('用于回归的形式 (2)'!S16)</f>
        <v>11.1579117119181</v>
      </c>
    </row>
    <row r="17" spans="2:19">
      <c r="B17">
        <f>-LN(-'用于回归的形式 (2)'!B17)</f>
        <v>-11.0869262343979</v>
      </c>
      <c r="C17">
        <f>LN('用于回归的形式 (2)'!C17)</f>
        <v>8.46720851409996</v>
      </c>
      <c r="D17">
        <f>LN('用于回归的形式 (2)'!D17)</f>
        <v>12.3217089725619</v>
      </c>
      <c r="E17">
        <f>LN('用于回归的形式 (2)'!E17)</f>
        <v>10.348484543328</v>
      </c>
      <c r="F17">
        <f t="shared" si="7"/>
        <v>22.3435168613218</v>
      </c>
      <c r="G17">
        <f t="shared" si="0"/>
        <v>71.6936200212469</v>
      </c>
      <c r="H17">
        <f t="shared" si="0"/>
        <v>151.824512004512</v>
      </c>
      <c r="I17">
        <f t="shared" si="0"/>
        <v>107.091132343499</v>
      </c>
      <c r="J17">
        <f t="shared" si="1"/>
        <v>104.330479120738</v>
      </c>
      <c r="K17">
        <f t="shared" si="2"/>
        <v>87.6227764332989</v>
      </c>
      <c r="L17">
        <f t="shared" si="3"/>
        <v>127.511014849943</v>
      </c>
      <c r="M17">
        <f t="shared" si="8"/>
        <v>499.23274573217</v>
      </c>
      <c r="N17">
        <f t="shared" si="4"/>
        <v>189.18721620312</v>
      </c>
      <c r="O17">
        <f t="shared" si="5"/>
        <v>275.310312188736</v>
      </c>
      <c r="P17">
        <f t="shared" si="6"/>
        <v>231.221538882977</v>
      </c>
      <c r="S17">
        <f>LN('用于回归的形式 (2)'!S17)</f>
        <v>11.2565906269238</v>
      </c>
    </row>
    <row r="18" spans="2:19">
      <c r="B18">
        <f>-LN(-'用于回归的形式 (2)'!B18)</f>
        <v>-11.074496035125</v>
      </c>
      <c r="C18">
        <f>LN('用于回归的形式 (2)'!C18)</f>
        <v>8.46754065551117</v>
      </c>
      <c r="D18">
        <f>LN('用于回归的形式 (2)'!D18)</f>
        <v>12.4527922362523</v>
      </c>
      <c r="E18">
        <f>LN('用于回归的形式 (2)'!E18)</f>
        <v>10.3609785366284</v>
      </c>
      <c r="F18">
        <f t="shared" si="7"/>
        <v>22.4350830438651</v>
      </c>
      <c r="G18">
        <f t="shared" si="0"/>
        <v>71.6992447527345</v>
      </c>
      <c r="H18">
        <f t="shared" si="0"/>
        <v>155.072034479264</v>
      </c>
      <c r="I18">
        <f t="shared" si="0"/>
        <v>107.349876236475</v>
      </c>
      <c r="J18">
        <f t="shared" si="1"/>
        <v>105.4445245351</v>
      </c>
      <c r="K18">
        <f t="shared" si="2"/>
        <v>87.7320069897796</v>
      </c>
      <c r="L18">
        <f t="shared" si="3"/>
        <v>129.023113080903</v>
      </c>
      <c r="M18">
        <f t="shared" si="8"/>
        <v>503.332951185123</v>
      </c>
      <c r="N18">
        <f t="shared" si="4"/>
        <v>189.969977783697</v>
      </c>
      <c r="O18">
        <f t="shared" si="5"/>
        <v>279.379427948318</v>
      </c>
      <c r="P18">
        <f t="shared" si="6"/>
        <v>232.449413884962</v>
      </c>
      <c r="S18">
        <f>LN('用于回归的形式 (2)'!S18)</f>
        <v>11.3605870087401</v>
      </c>
    </row>
    <row r="19" spans="2:19">
      <c r="B19">
        <f>-LN(-'用于回归的形式 (2)'!B19)</f>
        <v>-11.0743669629424</v>
      </c>
      <c r="C19">
        <f>LN('用于回归的形式 (2)'!C19)</f>
        <v>8.46608935276503</v>
      </c>
      <c r="D19">
        <f>LN('用于回归的形式 (2)'!D19)</f>
        <v>12.5683056060649</v>
      </c>
      <c r="E19">
        <f>LN('用于回归的形式 (2)'!E19)</f>
        <v>10.3620257036726</v>
      </c>
      <c r="F19">
        <f t="shared" si="7"/>
        <v>22.5169509689187</v>
      </c>
      <c r="G19">
        <f t="shared" si="0"/>
        <v>71.6746689290013</v>
      </c>
      <c r="H19">
        <f t="shared" si="0"/>
        <v>157.962305807442</v>
      </c>
      <c r="I19">
        <f t="shared" si="0"/>
        <v>107.371576683571</v>
      </c>
      <c r="J19">
        <f t="shared" si="1"/>
        <v>106.404398273803</v>
      </c>
      <c r="K19">
        <f t="shared" si="2"/>
        <v>87.72583548294</v>
      </c>
      <c r="L19">
        <f t="shared" si="3"/>
        <v>130.233105741656</v>
      </c>
      <c r="M19">
        <f t="shared" si="8"/>
        <v>507.01308093669</v>
      </c>
      <c r="N19">
        <f t="shared" si="4"/>
        <v>190.630518854695</v>
      </c>
      <c r="O19">
        <f t="shared" si="5"/>
        <v>282.999921094149</v>
      </c>
      <c r="P19">
        <f t="shared" si="6"/>
        <v>233.321224708271</v>
      </c>
      <c r="S19">
        <f>LN('用于回归的形式 (2)'!S19)</f>
        <v>11.4425840059764</v>
      </c>
    </row>
    <row r="20" spans="2:19">
      <c r="B20">
        <f>-LN(-'用于回归的形式 (2)'!B20)</f>
        <v>-11.0612835015486</v>
      </c>
      <c r="C20">
        <f>LN('用于回归的形式 (2)'!C20)</f>
        <v>8.46488885978695</v>
      </c>
      <c r="D20">
        <f>LN('用于回归的形式 (2)'!D20)</f>
        <v>12.6713531547765</v>
      </c>
      <c r="E20">
        <f>LN('用于回归的形式 (2)'!E20)</f>
        <v>10.3897941261489</v>
      </c>
      <c r="F20">
        <f t="shared" si="7"/>
        <v>22.5705173609199</v>
      </c>
      <c r="G20">
        <f t="shared" si="0"/>
        <v>71.6543434085452</v>
      </c>
      <c r="H20">
        <f t="shared" si="0"/>
        <v>160.563190773064</v>
      </c>
      <c r="I20">
        <f t="shared" si="0"/>
        <v>107.947821983759</v>
      </c>
      <c r="J20">
        <f t="shared" si="1"/>
        <v>107.261596158294</v>
      </c>
      <c r="K20">
        <f t="shared" si="2"/>
        <v>87.9484525539178</v>
      </c>
      <c r="L20">
        <f t="shared" si="3"/>
        <v>131.652750577855</v>
      </c>
      <c r="M20">
        <f t="shared" si="8"/>
        <v>509.428253939588</v>
      </c>
      <c r="N20">
        <f t="shared" si="4"/>
        <v>191.056920968079</v>
      </c>
      <c r="O20">
        <f t="shared" si="5"/>
        <v>285.99899636623</v>
      </c>
      <c r="P20">
        <f t="shared" si="6"/>
        <v>234.503028700628</v>
      </c>
      <c r="S20">
        <f>LN('用于回归的形式 (2)'!S20)</f>
        <v>11.5092338593714</v>
      </c>
    </row>
    <row r="21" spans="2:19">
      <c r="B21">
        <f>-LN(-'用于回归的形式 (2)'!B21)</f>
        <v>-11.0478099145911</v>
      </c>
      <c r="C21">
        <f>LN('用于回归的形式 (2)'!C21)</f>
        <v>8.49556089128912</v>
      </c>
      <c r="D21">
        <f>LN('用于回归的形式 (2)'!D21)</f>
        <v>12.7566768535157</v>
      </c>
      <c r="E21">
        <f>LN('用于回归的形式 (2)'!E21)</f>
        <v>10.3942887184034</v>
      </c>
      <c r="F21">
        <f t="shared" si="7"/>
        <v>22.5875621035591</v>
      </c>
      <c r="G21">
        <f t="shared" si="0"/>
        <v>72.1745548576013</v>
      </c>
      <c r="H21">
        <f t="shared" si="0"/>
        <v>162.732804345024</v>
      </c>
      <c r="I21">
        <f t="shared" si="0"/>
        <v>108.041237961527</v>
      </c>
      <c r="J21">
        <f t="shared" si="1"/>
        <v>108.375124979541</v>
      </c>
      <c r="K21">
        <f t="shared" si="2"/>
        <v>88.3053127288352</v>
      </c>
      <c r="L21">
        <f t="shared" si="3"/>
        <v>132.596582302816</v>
      </c>
      <c r="M21">
        <f t="shared" si="8"/>
        <v>510.197961782137</v>
      </c>
      <c r="N21">
        <f t="shared" si="4"/>
        <v>191.894009236561</v>
      </c>
      <c r="O21">
        <f t="shared" si="5"/>
        <v>288.142230663821</v>
      </c>
      <c r="P21">
        <f t="shared" si="6"/>
        <v>234.781641949259</v>
      </c>
      <c r="S21">
        <f>LN('用于回归的形式 (2)'!S21)</f>
        <v>11.5397521889679</v>
      </c>
    </row>
    <row r="22" spans="2:19">
      <c r="B22">
        <f>-LN(-'用于回归的形式 (2)'!B22)</f>
        <v>-10.593185443631</v>
      </c>
      <c r="C22">
        <f>LN('用于回归的形式 (2)'!C22)</f>
        <v>8.12710918534638</v>
      </c>
      <c r="D22">
        <f>LN('用于回归的形式 (2)'!D22)</f>
        <v>10.7807165875692</v>
      </c>
      <c r="E22">
        <f>LN('用于回归的形式 (2)'!E22)</f>
        <v>9.78848458640288</v>
      </c>
      <c r="F22">
        <f t="shared" si="7"/>
        <v>20.9765913739498</v>
      </c>
      <c r="G22">
        <f t="shared" si="0"/>
        <v>66.0499037105414</v>
      </c>
      <c r="H22">
        <f t="shared" si="0"/>
        <v>116.22385014149</v>
      </c>
      <c r="I22">
        <f t="shared" si="0"/>
        <v>95.8144304982468</v>
      </c>
      <c r="J22">
        <f t="shared" si="1"/>
        <v>87.6160608034499</v>
      </c>
      <c r="K22">
        <f t="shared" si="2"/>
        <v>79.5520829927763</v>
      </c>
      <c r="L22">
        <f t="shared" si="3"/>
        <v>105.526878147799</v>
      </c>
      <c r="M22">
        <f t="shared" si="8"/>
        <v>440.017385669665</v>
      </c>
      <c r="N22">
        <f t="shared" si="4"/>
        <v>170.479048432485</v>
      </c>
      <c r="O22">
        <f t="shared" si="5"/>
        <v>226.142686575802</v>
      </c>
      <c r="P22">
        <f t="shared" si="6"/>
        <v>205.329041339179</v>
      </c>
      <c r="S22">
        <f>LN('用于回归的形式 (2)'!S22)</f>
        <v>10.3834059303188</v>
      </c>
    </row>
    <row r="23" spans="2:19">
      <c r="B23">
        <f>-LN(-'用于回归的形式 (2)'!B23)</f>
        <v>-10.5547534677934</v>
      </c>
      <c r="C23">
        <f>LN('用于回归的形式 (2)'!C23)</f>
        <v>8.13358741766097</v>
      </c>
      <c r="D23">
        <f>LN('用于回归的形式 (2)'!D23)</f>
        <v>11.011462707531</v>
      </c>
      <c r="E23">
        <f>LN('用于回归的形式 (2)'!E23)</f>
        <v>9.80235032843689</v>
      </c>
      <c r="F23">
        <f t="shared" si="7"/>
        <v>21.0082487988132</v>
      </c>
      <c r="G23">
        <f t="shared" si="0"/>
        <v>66.1552442807328</v>
      </c>
      <c r="H23">
        <f t="shared" si="0"/>
        <v>121.252310959347</v>
      </c>
      <c r="I23">
        <f t="shared" si="0"/>
        <v>96.0860719614068</v>
      </c>
      <c r="J23">
        <f t="shared" si="1"/>
        <v>89.5626945280174</v>
      </c>
      <c r="K23">
        <f t="shared" si="2"/>
        <v>79.7282732948791</v>
      </c>
      <c r="L23">
        <f t="shared" si="3"/>
        <v>107.938215087737</v>
      </c>
      <c r="M23">
        <f t="shared" si="8"/>
        <v>441.346517592835</v>
      </c>
      <c r="N23">
        <f t="shared" si="4"/>
        <v>170.872428097118</v>
      </c>
      <c r="O23">
        <f t="shared" si="5"/>
        <v>231.331548198665</v>
      </c>
      <c r="P23">
        <f t="shared" si="6"/>
        <v>205.93021451293</v>
      </c>
      <c r="S23">
        <f>LN('用于回归的形式 (2)'!S23)</f>
        <v>10.4534953310197</v>
      </c>
    </row>
    <row r="24" spans="2:19">
      <c r="B24">
        <f>-LN(-'用于回归的形式 (2)'!B24)</f>
        <v>-10.5650432374611</v>
      </c>
      <c r="C24">
        <f>LN('用于回归的形式 (2)'!C24)</f>
        <v>8.14206328310414</v>
      </c>
      <c r="D24">
        <f>LN('用于回归的形式 (2)'!D24)</f>
        <v>11.224500406367</v>
      </c>
      <c r="E24">
        <f>LN('用于回归的形式 (2)'!E24)</f>
        <v>9.83306508823958</v>
      </c>
      <c r="F24">
        <f t="shared" si="7"/>
        <v>21.1039582815847</v>
      </c>
      <c r="G24">
        <f t="shared" si="0"/>
        <v>66.2931945060727</v>
      </c>
      <c r="H24">
        <f t="shared" si="0"/>
        <v>125.989409372533</v>
      </c>
      <c r="I24">
        <f t="shared" si="0"/>
        <v>96.6891690295561</v>
      </c>
      <c r="J24">
        <f t="shared" si="1"/>
        <v>91.3905926298684</v>
      </c>
      <c r="K24">
        <f t="shared" si="2"/>
        <v>80.0614382153287</v>
      </c>
      <c r="L24">
        <f t="shared" si="3"/>
        <v>110.371243078778</v>
      </c>
      <c r="M24">
        <f t="shared" si="8"/>
        <v>445.377055150868</v>
      </c>
      <c r="N24">
        <f t="shared" si="4"/>
        <v>171.829763852652</v>
      </c>
      <c r="O24">
        <f t="shared" si="5"/>
        <v>236.8813883076</v>
      </c>
      <c r="P24">
        <f t="shared" si="6"/>
        <v>207.516595402315</v>
      </c>
      <c r="S24">
        <f>LN('用于回归的形式 (2)'!S24)</f>
        <v>10.5389150441236</v>
      </c>
    </row>
    <row r="25" spans="2:19">
      <c r="B25">
        <f>-LN(-'用于回归的形式 (2)'!B25)</f>
        <v>-10.5474305750871</v>
      </c>
      <c r="C25">
        <f>LN('用于回归的形式 (2)'!C25)</f>
        <v>8.14873480893717</v>
      </c>
      <c r="D25">
        <f>LN('用于回归的形式 (2)'!D25)</f>
        <v>11.4219543047193</v>
      </c>
      <c r="E25">
        <f>LN('用于回归的形式 (2)'!E25)</f>
        <v>9.84299417210716</v>
      </c>
      <c r="F25">
        <f t="shared" si="7"/>
        <v>21.1483817290207</v>
      </c>
      <c r="G25">
        <f t="shared" si="0"/>
        <v>66.4018789863843</v>
      </c>
      <c r="H25">
        <f t="shared" si="0"/>
        <v>130.461040139095</v>
      </c>
      <c r="I25">
        <f t="shared" si="0"/>
        <v>96.8845342721356</v>
      </c>
      <c r="J25">
        <f t="shared" si="1"/>
        <v>93.0744766289557</v>
      </c>
      <c r="K25">
        <f t="shared" si="2"/>
        <v>80.2079492344154</v>
      </c>
      <c r="L25">
        <f t="shared" si="3"/>
        <v>112.426229655426</v>
      </c>
      <c r="M25">
        <f t="shared" si="8"/>
        <v>447.254049756377</v>
      </c>
      <c r="N25">
        <f t="shared" si="4"/>
        <v>172.332554347962</v>
      </c>
      <c r="O25">
        <f t="shared" si="5"/>
        <v>241.555849727634</v>
      </c>
      <c r="P25">
        <f t="shared" si="6"/>
        <v>208.163398108248</v>
      </c>
      <c r="S25">
        <f>LN('用于回归的形式 (2)'!S25)</f>
        <v>10.6009511539336</v>
      </c>
    </row>
    <row r="26" spans="2:19">
      <c r="B26">
        <f>-LN(-'用于回归的形式 (2)'!B26)</f>
        <v>-10.5492844966804</v>
      </c>
      <c r="C26">
        <f>LN('用于回归的形式 (2)'!C26)</f>
        <v>8.16194579946869</v>
      </c>
      <c r="D26">
        <f>LN('用于回归的形式 (2)'!D26)</f>
        <v>11.6009720691295</v>
      </c>
      <c r="E26">
        <f>LN('用于回归的形式 (2)'!E26)</f>
        <v>9.88379491919039</v>
      </c>
      <c r="F26">
        <f t="shared" si="7"/>
        <v>21.2155966335844</v>
      </c>
      <c r="G26">
        <f t="shared" si="0"/>
        <v>66.6173592334646</v>
      </c>
      <c r="H26">
        <f t="shared" si="0"/>
        <v>134.582552948723</v>
      </c>
      <c r="I26">
        <f t="shared" si="0"/>
        <v>97.6894020046138</v>
      </c>
      <c r="J26">
        <f t="shared" si="1"/>
        <v>94.6865052493853</v>
      </c>
      <c r="K26">
        <f t="shared" si="2"/>
        <v>80.670998423496</v>
      </c>
      <c r="L26">
        <f t="shared" si="3"/>
        <v>114.661628794532</v>
      </c>
      <c r="M26">
        <f t="shared" si="8"/>
        <v>450.101540518957</v>
      </c>
      <c r="N26">
        <f t="shared" si="4"/>
        <v>173.160549826706</v>
      </c>
      <c r="O26">
        <f t="shared" si="5"/>
        <v>246.121543976131</v>
      </c>
      <c r="P26">
        <f t="shared" si="6"/>
        <v>209.690606214614</v>
      </c>
      <c r="S26">
        <f>LN('用于回归的形式 (2)'!S26)</f>
        <v>10.666312136904</v>
      </c>
    </row>
    <row r="27" spans="2:19">
      <c r="B27">
        <f>-LN(-'用于回归的形式 (2)'!B27)</f>
        <v>-10.543172080385</v>
      </c>
      <c r="C27">
        <f>LN('用于回归的形式 (2)'!C27)</f>
        <v>8.17526610411206</v>
      </c>
      <c r="D27">
        <f>LN('用于回归的形式 (2)'!D27)</f>
        <v>11.7620589481783</v>
      </c>
      <c r="E27">
        <f>LN('用于回归的形式 (2)'!E27)</f>
        <v>9.91717347164069</v>
      </c>
      <c r="F27">
        <f t="shared" si="7"/>
        <v>21.3064087959615</v>
      </c>
      <c r="G27">
        <f t="shared" si="0"/>
        <v>66.8349758730436</v>
      </c>
      <c r="H27">
        <f t="shared" si="0"/>
        <v>138.346030700422</v>
      </c>
      <c r="I27">
        <f t="shared" si="0"/>
        <v>98.3503296666139</v>
      </c>
      <c r="J27">
        <f t="shared" si="1"/>
        <v>96.1579618336101</v>
      </c>
      <c r="K27">
        <f t="shared" si="2"/>
        <v>81.0755321313035</v>
      </c>
      <c r="L27">
        <f t="shared" si="3"/>
        <v>116.646378972748</v>
      </c>
      <c r="M27">
        <f t="shared" si="8"/>
        <v>453.963055780625</v>
      </c>
      <c r="N27">
        <f t="shared" si="4"/>
        <v>174.185561629979</v>
      </c>
      <c r="O27">
        <f t="shared" si="5"/>
        <v>250.607236232084</v>
      </c>
      <c r="P27">
        <f t="shared" si="6"/>
        <v>211.299352087241</v>
      </c>
      <c r="S27">
        <f>LN('用于回归的形式 (2)'!S27)</f>
        <v>10.7632367155764</v>
      </c>
    </row>
    <row r="28" spans="2:19">
      <c r="B28">
        <f>-LN(-'用于回归的形式 (2)'!B28)</f>
        <v>-10.6002299532004</v>
      </c>
      <c r="C28">
        <f>LN('用于回归的形式 (2)'!C28)</f>
        <v>8.19229373114764</v>
      </c>
      <c r="D28">
        <f>LN('用于回归的形式 (2)'!D28)</f>
        <v>11.8988770807106</v>
      </c>
      <c r="E28">
        <f>LN('用于回归的形式 (2)'!E28)</f>
        <v>9.95370574420781</v>
      </c>
      <c r="F28">
        <f t="shared" si="7"/>
        <v>21.4547624523326</v>
      </c>
      <c r="G28">
        <f t="shared" si="0"/>
        <v>67.1136765774009</v>
      </c>
      <c r="H28">
        <f t="shared" si="0"/>
        <v>141.583275781859</v>
      </c>
      <c r="I28">
        <f t="shared" si="0"/>
        <v>99.0762580422755</v>
      </c>
      <c r="J28">
        <f t="shared" si="1"/>
        <v>97.4790961160015</v>
      </c>
      <c r="K28">
        <f t="shared" si="2"/>
        <v>81.5436811699619</v>
      </c>
      <c r="L28">
        <f t="shared" si="3"/>
        <v>118.437921147891</v>
      </c>
      <c r="M28">
        <f t="shared" si="8"/>
        <v>460.30683188602</v>
      </c>
      <c r="N28">
        <f t="shared" si="4"/>
        <v>175.763715941506</v>
      </c>
      <c r="O28">
        <f t="shared" si="5"/>
        <v>255.28758121615</v>
      </c>
      <c r="P28">
        <f t="shared" si="6"/>
        <v>213.554392262397</v>
      </c>
      <c r="S28">
        <f>LN('用于回归的形式 (2)'!S28)</f>
        <v>10.8545324991322</v>
      </c>
    </row>
    <row r="29" spans="2:19">
      <c r="B29">
        <f>-LN(-'用于回归的形式 (2)'!B29)</f>
        <v>-10.6007732211289</v>
      </c>
      <c r="C29">
        <f>LN('用于回归的形式 (2)'!C29)</f>
        <v>8.21365270303</v>
      </c>
      <c r="D29">
        <f>LN('用于回归的形式 (2)'!D29)</f>
        <v>12.021642198122</v>
      </c>
      <c r="E29">
        <f>LN('用于回归的形式 (2)'!E29)</f>
        <v>9.98389450155804</v>
      </c>
      <c r="F29">
        <f t="shared" si="7"/>
        <v>21.5690232334577</v>
      </c>
      <c r="G29">
        <f t="shared" si="0"/>
        <v>67.464090725992</v>
      </c>
      <c r="H29">
        <f t="shared" si="0"/>
        <v>144.519881139667</v>
      </c>
      <c r="I29">
        <f t="shared" si="0"/>
        <v>99.6781494182408</v>
      </c>
      <c r="J29">
        <f t="shared" si="1"/>
        <v>98.7415939354639</v>
      </c>
      <c r="K29">
        <f t="shared" si="2"/>
        <v>82.0042420594885</v>
      </c>
      <c r="L29">
        <f t="shared" si="3"/>
        <v>120.022807441528</v>
      </c>
      <c r="M29">
        <f t="shared" si="8"/>
        <v>465.222763245439</v>
      </c>
      <c r="N29">
        <f t="shared" si="4"/>
        <v>177.160465983207</v>
      </c>
      <c r="O29">
        <f t="shared" si="5"/>
        <v>259.295079875608</v>
      </c>
      <c r="P29">
        <f t="shared" si="6"/>
        <v>215.342852464496</v>
      </c>
      <c r="S29">
        <f>LN('用于回归的形式 (2)'!S29)</f>
        <v>10.9682500123288</v>
      </c>
    </row>
    <row r="30" spans="2:19">
      <c r="B30">
        <f>-LN(-'用于回归的形式 (2)'!B30)</f>
        <v>-10.6433909870336</v>
      </c>
      <c r="C30">
        <f>LN('用于回归的形式 (2)'!C30)</f>
        <v>8.23509549725836</v>
      </c>
      <c r="D30">
        <f>LN('用于回归的形式 (2)'!D30)</f>
        <v>12.1391426094272</v>
      </c>
      <c r="E30">
        <f>LN('用于回归的形式 (2)'!E30)</f>
        <v>10.0165036890048</v>
      </c>
      <c r="F30">
        <f t="shared" si="7"/>
        <v>21.6839378447291</v>
      </c>
      <c r="G30">
        <f t="shared" si="0"/>
        <v>67.8167978489649</v>
      </c>
      <c r="H30">
        <f t="shared" si="0"/>
        <v>147.358783292011</v>
      </c>
      <c r="I30">
        <f t="shared" si="0"/>
        <v>100.330346151847</v>
      </c>
      <c r="J30">
        <f t="shared" si="1"/>
        <v>99.966998643471</v>
      </c>
      <c r="K30">
        <f t="shared" si="2"/>
        <v>82.4868644275954</v>
      </c>
      <c r="L30">
        <f t="shared" si="3"/>
        <v>121.591766728683</v>
      </c>
      <c r="M30">
        <f t="shared" si="8"/>
        <v>470.193160454076</v>
      </c>
      <c r="N30">
        <f t="shared" si="4"/>
        <v>178.569298907959</v>
      </c>
      <c r="O30">
        <f t="shared" si="5"/>
        <v>263.224413831122</v>
      </c>
      <c r="P30">
        <f t="shared" si="6"/>
        <v>217.197243413881</v>
      </c>
      <c r="S30">
        <f>LN('用于回归的形式 (2)'!S30)</f>
        <v>11.0405468576955</v>
      </c>
    </row>
    <row r="31" spans="2:19">
      <c r="B31">
        <f>-LN(-'用于回归的形式 (2)'!B31)</f>
        <v>-10.7244880313941</v>
      </c>
      <c r="C31">
        <f>LN('用于回归的形式 (2)'!C31)</f>
        <v>8.25764495820823</v>
      </c>
      <c r="D31">
        <f>LN('用于回归的形式 (2)'!D31)</f>
        <v>12.2442348274475</v>
      </c>
      <c r="E31">
        <f>LN('用于回归的形式 (2)'!E31)</f>
        <v>10.1129377767183</v>
      </c>
      <c r="F31">
        <f t="shared" si="7"/>
        <v>21.8006642013943</v>
      </c>
      <c r="G31">
        <f t="shared" si="0"/>
        <v>68.1887002558218</v>
      </c>
      <c r="H31">
        <f t="shared" si="0"/>
        <v>149.921286509678</v>
      </c>
      <c r="I31">
        <f t="shared" si="0"/>
        <v>102.271510475777</v>
      </c>
      <c r="J31">
        <f t="shared" si="1"/>
        <v>101.108543989989</v>
      </c>
      <c r="K31">
        <f t="shared" si="2"/>
        <v>83.5090496445917</v>
      </c>
      <c r="L31">
        <f t="shared" si="3"/>
        <v>123.825184933504</v>
      </c>
      <c r="M31">
        <f t="shared" si="8"/>
        <v>475.268959621953</v>
      </c>
      <c r="N31">
        <f t="shared" si="4"/>
        <v>180.022144828234</v>
      </c>
      <c r="O31">
        <f t="shared" si="5"/>
        <v>266.932451876199</v>
      </c>
      <c r="P31">
        <f t="shared" si="6"/>
        <v>220.468760559831</v>
      </c>
      <c r="S31">
        <f>LN('用于回归的形式 (2)'!S31)</f>
        <v>11.0761761700002</v>
      </c>
    </row>
    <row r="32" spans="2:19">
      <c r="B32">
        <f>-LN(-'用于回归的形式 (2)'!B32)</f>
        <v>-10.358971257875</v>
      </c>
      <c r="C32">
        <f>LN('用于回归的形式 (2)'!C32)</f>
        <v>8.32382686508953</v>
      </c>
      <c r="D32">
        <f>LN('用于回归的形式 (2)'!D32)</f>
        <v>10.5863045066602</v>
      </c>
      <c r="E32">
        <f>LN('用于回归的形式 (2)'!E32)</f>
        <v>9.2657968383248</v>
      </c>
      <c r="F32">
        <f t="shared" si="7"/>
        <v>19.9946218480132</v>
      </c>
      <c r="G32">
        <f t="shared" si="0"/>
        <v>69.2860936799862</v>
      </c>
      <c r="H32">
        <f t="shared" si="0"/>
        <v>112.069843107733</v>
      </c>
      <c r="I32">
        <f t="shared" si="0"/>
        <v>85.8549910491099</v>
      </c>
      <c r="J32">
        <f t="shared" si="1"/>
        <v>88.1185658545562</v>
      </c>
      <c r="K32">
        <f t="shared" si="2"/>
        <v>77.1268886493096</v>
      </c>
      <c r="L32">
        <f t="shared" si="3"/>
        <v>98.0905468273552</v>
      </c>
      <c r="M32">
        <f t="shared" si="8"/>
        <v>399.784902845047</v>
      </c>
      <c r="N32">
        <f t="shared" si="4"/>
        <v>166.431770495798</v>
      </c>
      <c r="O32">
        <f t="shared" si="5"/>
        <v>211.669155378588</v>
      </c>
      <c r="P32">
        <f t="shared" si="6"/>
        <v>185.266103902821</v>
      </c>
      <c r="S32">
        <f>LN('用于回归的形式 (2)'!S32)</f>
        <v>9.63565059013825</v>
      </c>
    </row>
    <row r="33" spans="2:19">
      <c r="B33">
        <f>-LN(-'用于回归的形式 (2)'!B33)</f>
        <v>-10.4798396375786</v>
      </c>
      <c r="C33">
        <f>LN('用于回归的形式 (2)'!C33)</f>
        <v>8.34445754264587</v>
      </c>
      <c r="D33">
        <f>LN('用于回归的形式 (2)'!D33)</f>
        <v>10.8365042771879</v>
      </c>
      <c r="E33">
        <f>LN('用于回归的形式 (2)'!E33)</f>
        <v>9.33767321824421</v>
      </c>
      <c r="F33">
        <f t="shared" si="7"/>
        <v>20.2332046722137</v>
      </c>
      <c r="G33">
        <f t="shared" si="0"/>
        <v>69.6299716810196</v>
      </c>
      <c r="H33">
        <f t="shared" si="0"/>
        <v>117.429824949513</v>
      </c>
      <c r="I33">
        <f t="shared" si="0"/>
        <v>87.1921411307151</v>
      </c>
      <c r="J33">
        <f t="shared" si="1"/>
        <v>90.4247498516952</v>
      </c>
      <c r="K33">
        <f t="shared" si="2"/>
        <v>77.9178177167402</v>
      </c>
      <c r="L33">
        <f t="shared" si="3"/>
        <v>101.187735768487</v>
      </c>
      <c r="M33">
        <f t="shared" si="8"/>
        <v>409.382571307689</v>
      </c>
      <c r="N33">
        <f t="shared" si="4"/>
        <v>168.835117338951</v>
      </c>
      <c r="O33">
        <f t="shared" si="5"/>
        <v>219.257208971663</v>
      </c>
      <c r="P33">
        <f t="shared" si="6"/>
        <v>188.931053386983</v>
      </c>
      <c r="S33">
        <f>LN('用于回归的形式 (2)'!S33)</f>
        <v>9.75336503463509</v>
      </c>
    </row>
    <row r="34" spans="2:19">
      <c r="B34">
        <f>-LN(-'用于回归的形式 (2)'!B34)</f>
        <v>-10.5640599915426</v>
      </c>
      <c r="C34">
        <f>LN('用于回归的形式 (2)'!C34)</f>
        <v>8.3607498855291</v>
      </c>
      <c r="D34">
        <f>LN('用于回归的形式 (2)'!D34)</f>
        <v>11.0699686548412</v>
      </c>
      <c r="E34">
        <f>LN('用于回归的形式 (2)'!E34)</f>
        <v>9.39767932058192</v>
      </c>
      <c r="F34">
        <f t="shared" si="7"/>
        <v>20.4282523573523</v>
      </c>
      <c r="G34">
        <f t="shared" ref="G34:I65" si="9">C34*C34</f>
        <v>69.9021386483748</v>
      </c>
      <c r="H34">
        <f t="shared" si="9"/>
        <v>122.544206019166</v>
      </c>
      <c r="I34">
        <f t="shared" si="9"/>
        <v>88.3163766124931</v>
      </c>
      <c r="J34">
        <f t="shared" si="1"/>
        <v>92.5532391637739</v>
      </c>
      <c r="K34">
        <f t="shared" si="2"/>
        <v>78.5716463037945</v>
      </c>
      <c r="L34">
        <f t="shared" si="3"/>
        <v>104.032015507091</v>
      </c>
      <c r="M34">
        <f t="shared" si="8"/>
        <v>417.313494375671</v>
      </c>
      <c r="N34">
        <f t="shared" si="4"/>
        <v>170.795508558293</v>
      </c>
      <c r="O34">
        <f t="shared" si="5"/>
        <v>226.140113269075</v>
      </c>
      <c r="P34">
        <f t="shared" si="6"/>
        <v>191.978164734319</v>
      </c>
      <c r="S34">
        <f>LN('用于回归的形式 (2)'!S34)</f>
        <v>9.86419236580976</v>
      </c>
    </row>
    <row r="35" spans="2:19">
      <c r="B35">
        <f>-LN(-'用于回归的形式 (2)'!B35)</f>
        <v>-10.6011127953595</v>
      </c>
      <c r="C35">
        <f>LN('用于回归的形式 (2)'!C35)</f>
        <v>8.36892517474713</v>
      </c>
      <c r="D35">
        <f>LN('用于回归的形式 (2)'!D35)</f>
        <v>11.2810601455643</v>
      </c>
      <c r="E35">
        <f>LN('用于回归的形式 (2)'!E35)</f>
        <v>9.39357984069339</v>
      </c>
      <c r="F35">
        <f t="shared" si="7"/>
        <v>20.5461619536841</v>
      </c>
      <c r="G35">
        <f t="shared" si="9"/>
        <v>70.0389085805164</v>
      </c>
      <c r="H35">
        <f t="shared" si="9"/>
        <v>127.262318007839</v>
      </c>
      <c r="I35">
        <f t="shared" si="9"/>
        <v>88.2393422234813</v>
      </c>
      <c r="J35">
        <f t="shared" si="1"/>
        <v>94.4103482500496</v>
      </c>
      <c r="K35">
        <f t="shared" si="2"/>
        <v>78.6141668097761</v>
      </c>
      <c r="L35">
        <f t="shared" si="3"/>
        <v>105.969539165022</v>
      </c>
      <c r="M35">
        <f t="shared" si="8"/>
        <v>422.144771027015</v>
      </c>
      <c r="N35">
        <f t="shared" si="4"/>
        <v>171.949292018618</v>
      </c>
      <c r="O35">
        <f t="shared" si="5"/>
        <v>231.782488760015</v>
      </c>
      <c r="P35">
        <f t="shared" si="6"/>
        <v>193.002012731748</v>
      </c>
      <c r="S35">
        <f>LN('用于回归的形式 (2)'!S35)</f>
        <v>9.94504915832453</v>
      </c>
    </row>
    <row r="36" spans="2:19">
      <c r="B36">
        <f>-LN(-'用于回归的形式 (2)'!B36)</f>
        <v>-10.5785937066077</v>
      </c>
      <c r="C36">
        <f>LN('用于回归的形式 (2)'!C36)</f>
        <v>8.37611338103438</v>
      </c>
      <c r="D36">
        <f>LN('用于回归的形式 (2)'!D36)</f>
        <v>11.4685297581298</v>
      </c>
      <c r="E36">
        <f>LN('用于回归的形式 (2)'!E36)</f>
        <v>9.41745453636084</v>
      </c>
      <c r="F36">
        <f t="shared" si="7"/>
        <v>20.5776473152999</v>
      </c>
      <c r="G36">
        <f t="shared" si="9"/>
        <v>70.1592753719433</v>
      </c>
      <c r="H36">
        <f t="shared" si="9"/>
        <v>131.527174813108</v>
      </c>
      <c r="I36">
        <f t="shared" si="9"/>
        <v>88.6884499444234</v>
      </c>
      <c r="J36">
        <f t="shared" si="1"/>
        <v>96.0617055678619</v>
      </c>
      <c r="K36">
        <f t="shared" si="2"/>
        <v>78.881666957295</v>
      </c>
      <c r="L36">
        <f t="shared" si="3"/>
        <v>108.004357596089</v>
      </c>
      <c r="M36">
        <f t="shared" si="8"/>
        <v>423.439569032869</v>
      </c>
      <c r="N36">
        <f t="shared" si="4"/>
        <v>172.36070702789</v>
      </c>
      <c r="O36">
        <f t="shared" si="5"/>
        <v>235.995360587816</v>
      </c>
      <c r="P36">
        <f t="shared" si="6"/>
        <v>193.789058057104</v>
      </c>
      <c r="S36">
        <f>LN('用于回归的形式 (2)'!S36)</f>
        <v>9.99905360869222</v>
      </c>
    </row>
    <row r="37" spans="2:19">
      <c r="B37">
        <f>-LN(-'用于回归的形式 (2)'!B37)</f>
        <v>-10.5458079474601</v>
      </c>
      <c r="C37">
        <f>LN('用于回归的形式 (2)'!C37)</f>
        <v>8.38059424150221</v>
      </c>
      <c r="D37">
        <f>LN('用于回归的形式 (2)'!D37)</f>
        <v>11.6371987176883</v>
      </c>
      <c r="E37">
        <f>LN('用于回归的形式 (2)'!E37)</f>
        <v>9.44643094768777</v>
      </c>
      <c r="F37">
        <f t="shared" si="7"/>
        <v>20.6484586050694</v>
      </c>
      <c r="G37">
        <f t="shared" si="9"/>
        <v>70.2343598407001</v>
      </c>
      <c r="H37">
        <f t="shared" si="9"/>
        <v>135.424393994966</v>
      </c>
      <c r="I37">
        <f t="shared" si="9"/>
        <v>89.2350576494333</v>
      </c>
      <c r="J37">
        <f t="shared" si="1"/>
        <v>97.5266405606756</v>
      </c>
      <c r="K37">
        <f t="shared" si="2"/>
        <v>79.1667048029405</v>
      </c>
      <c r="L37">
        <f t="shared" si="3"/>
        <v>109.929994111163</v>
      </c>
      <c r="M37">
        <f t="shared" si="8"/>
        <v>426.358842765265</v>
      </c>
      <c r="N37">
        <f t="shared" si="4"/>
        <v>173.046353281541</v>
      </c>
      <c r="O37">
        <f t="shared" si="5"/>
        <v>240.290216001154</v>
      </c>
      <c r="P37">
        <f t="shared" si="6"/>
        <v>195.054238388977</v>
      </c>
      <c r="S37">
        <f>LN('用于回归的形式 (2)'!S37)</f>
        <v>10.1026506576093</v>
      </c>
    </row>
    <row r="38" spans="2:19">
      <c r="B38">
        <f>-LN(-'用于回归的形式 (2)'!B38)</f>
        <v>-10.589147732394</v>
      </c>
      <c r="C38">
        <f>LN('用于回归的形式 (2)'!C38)</f>
        <v>8.38432443634181</v>
      </c>
      <c r="D38">
        <f>LN('用于回归的形式 (2)'!D38)</f>
        <v>11.787128284599</v>
      </c>
      <c r="E38">
        <f>LN('用于回归的形式 (2)'!E38)</f>
        <v>9.47414283251296</v>
      </c>
      <c r="F38">
        <f t="shared" si="7"/>
        <v>20.7934063219237</v>
      </c>
      <c r="G38">
        <f t="shared" si="9"/>
        <v>70.2968962538384</v>
      </c>
      <c r="H38">
        <f t="shared" si="9"/>
        <v>138.936393197593</v>
      </c>
      <c r="I38">
        <f t="shared" si="9"/>
        <v>89.7593824108568</v>
      </c>
      <c r="J38">
        <f t="shared" si="1"/>
        <v>98.8271077108588</v>
      </c>
      <c r="K38">
        <f t="shared" si="2"/>
        <v>79.4342872640311</v>
      </c>
      <c r="L38">
        <f t="shared" si="3"/>
        <v>111.672936953444</v>
      </c>
      <c r="M38">
        <f t="shared" si="8"/>
        <v>432.365746468615</v>
      </c>
      <c r="N38">
        <f t="shared" si="4"/>
        <v>174.338664739689</v>
      </c>
      <c r="O38">
        <f t="shared" si="5"/>
        <v>245.094547790305</v>
      </c>
      <c r="P38">
        <f t="shared" si="6"/>
        <v>196.999701468383</v>
      </c>
      <c r="S38">
        <f>LN('用于回归的形式 (2)'!S38)</f>
        <v>10.2042585895296</v>
      </c>
    </row>
    <row r="39" spans="2:19">
      <c r="B39">
        <f>-LN(-'用于回归的形式 (2)'!B39)</f>
        <v>-10.577524551476</v>
      </c>
      <c r="C39">
        <f>LN('用于回归的形式 (2)'!C39)</f>
        <v>8.38601331751739</v>
      </c>
      <c r="D39">
        <f>LN('用于回归的形式 (2)'!D39)</f>
        <v>11.9286671487128</v>
      </c>
      <c r="E39">
        <f>LN('用于回归的形式 (2)'!E39)</f>
        <v>9.49512149072767</v>
      </c>
      <c r="F39">
        <f t="shared" si="7"/>
        <v>21.0119608919322</v>
      </c>
      <c r="G39">
        <f t="shared" si="9"/>
        <v>70.3252193615791</v>
      </c>
      <c r="H39">
        <f t="shared" si="9"/>
        <v>142.29309994478</v>
      </c>
      <c r="I39">
        <f t="shared" si="9"/>
        <v>90.1573321236785</v>
      </c>
      <c r="J39">
        <f t="shared" si="1"/>
        <v>100.033961569338</v>
      </c>
      <c r="K39">
        <f t="shared" si="2"/>
        <v>79.6262152726879</v>
      </c>
      <c r="L39">
        <f t="shared" si="3"/>
        <v>113.26414379948</v>
      </c>
      <c r="M39">
        <f t="shared" si="8"/>
        <v>441.502500524088</v>
      </c>
      <c r="N39">
        <f t="shared" si="4"/>
        <v>176.206583866898</v>
      </c>
      <c r="O39">
        <f t="shared" si="5"/>
        <v>250.64468762163</v>
      </c>
      <c r="P39">
        <f t="shared" si="6"/>
        <v>199.511121427315</v>
      </c>
      <c r="S39">
        <f>LN('用于回归的形式 (2)'!S39)</f>
        <v>10.4344363404562</v>
      </c>
    </row>
    <row r="40" spans="2:19">
      <c r="B40">
        <f>-LN(-'用于回归的形式 (2)'!B40)</f>
        <v>-10.594037540643</v>
      </c>
      <c r="C40">
        <f>LN('用于回归的形式 (2)'!C40)</f>
        <v>8.38571682862785</v>
      </c>
      <c r="D40">
        <f>LN('用于回归的形式 (2)'!D40)</f>
        <v>12.0589205593091</v>
      </c>
      <c r="E40">
        <f>LN('用于回归的形式 (2)'!E40)</f>
        <v>9.537464046645</v>
      </c>
      <c r="F40">
        <f t="shared" si="7"/>
        <v>21.115786537667</v>
      </c>
      <c r="G40">
        <f t="shared" si="9"/>
        <v>70.3202467299324</v>
      </c>
      <c r="H40">
        <f t="shared" si="9"/>
        <v>145.417565055727</v>
      </c>
      <c r="I40">
        <f t="shared" si="9"/>
        <v>90.963220441046</v>
      </c>
      <c r="J40">
        <f t="shared" si="1"/>
        <v>101.122693069284</v>
      </c>
      <c r="K40">
        <f t="shared" si="2"/>
        <v>79.9784727583841</v>
      </c>
      <c r="L40">
        <f t="shared" si="3"/>
        <v>115.011521275758</v>
      </c>
      <c r="M40">
        <f t="shared" si="8"/>
        <v>445.876441104318</v>
      </c>
      <c r="N40">
        <f t="shared" si="4"/>
        <v>177.071006518627</v>
      </c>
      <c r="O40">
        <f t="shared" si="5"/>
        <v>254.633592405054</v>
      </c>
      <c r="P40">
        <f t="shared" si="6"/>
        <v>201.391054919629</v>
      </c>
      <c r="S40">
        <f>LN('用于回归的形式 (2)'!S40)</f>
        <v>10.5217489970239</v>
      </c>
    </row>
    <row r="41" spans="2:19">
      <c r="B41">
        <f>-LN(-'用于回归的形式 (2)'!B41)</f>
        <v>-10.5895367769333</v>
      </c>
      <c r="C41">
        <f>LN('用于回归的形式 (2)'!C41)</f>
        <v>8.08425410630732</v>
      </c>
      <c r="D41">
        <f>LN('用于回归的形式 (2)'!D41)</f>
        <v>12.1730787289004</v>
      </c>
      <c r="E41">
        <f>LN('用于回归的形式 (2)'!E41)</f>
        <v>9.59545990541892</v>
      </c>
      <c r="F41">
        <f t="shared" si="7"/>
        <v>21.152631013855</v>
      </c>
      <c r="G41">
        <f t="shared" si="9"/>
        <v>65.3551644553467</v>
      </c>
      <c r="H41">
        <f t="shared" si="9"/>
        <v>148.183845740007</v>
      </c>
      <c r="I41">
        <f t="shared" si="9"/>
        <v>92.072850796502</v>
      </c>
      <c r="J41">
        <f t="shared" si="1"/>
        <v>98.410261700515</v>
      </c>
      <c r="K41">
        <f t="shared" si="2"/>
        <v>77.5721361422901</v>
      </c>
      <c r="L41">
        <f t="shared" si="3"/>
        <v>116.806288868671</v>
      </c>
      <c r="M41">
        <f t="shared" si="8"/>
        <v>447.433798808298</v>
      </c>
      <c r="N41">
        <f t="shared" si="4"/>
        <v>171.00324413296</v>
      </c>
      <c r="O41">
        <f t="shared" si="5"/>
        <v>257.492642655036</v>
      </c>
      <c r="P41">
        <f t="shared" si="6"/>
        <v>202.969222787566</v>
      </c>
      <c r="S41">
        <f>LN('用于回归的形式 (2)'!S41)</f>
        <v>10.5630942369217</v>
      </c>
    </row>
    <row r="42" spans="2:19">
      <c r="B42">
        <f>-LN(-'用于回归的形式 (2)'!B42)</f>
        <v>-11.2125174398899</v>
      </c>
      <c r="C42">
        <f>LN('用于回归的形式 (2)'!C42)</f>
        <v>7.23561914106675</v>
      </c>
      <c r="D42">
        <f>LN('用于回归的形式 (2)'!D42)</f>
        <v>10.43269872314</v>
      </c>
      <c r="E42">
        <f>LN('用于回归的形式 (2)'!E42)</f>
        <v>9.68905780055827</v>
      </c>
      <c r="F42">
        <f t="shared" si="7"/>
        <v>20.7847109259112</v>
      </c>
      <c r="G42">
        <f t="shared" si="9"/>
        <v>52.3541843545715</v>
      </c>
      <c r="H42">
        <f t="shared" si="9"/>
        <v>108.841202647807</v>
      </c>
      <c r="I42">
        <f t="shared" si="9"/>
        <v>93.8778410625591</v>
      </c>
      <c r="J42">
        <f t="shared" si="1"/>
        <v>75.4870345741345</v>
      </c>
      <c r="K42">
        <f t="shared" si="2"/>
        <v>70.1063320806215</v>
      </c>
      <c r="L42">
        <f t="shared" si="3"/>
        <v>101.083020944314</v>
      </c>
      <c r="M42">
        <f t="shared" si="8"/>
        <v>432.004208273692</v>
      </c>
      <c r="N42">
        <f t="shared" si="4"/>
        <v>150.390252217062</v>
      </c>
      <c r="O42">
        <f t="shared" si="5"/>
        <v>216.840627137588</v>
      </c>
      <c r="P42">
        <f t="shared" si="6"/>
        <v>201.384265529049</v>
      </c>
      <c r="S42">
        <f>LN('用于回归的形式 (2)'!S42)</f>
        <v>9.57219348602134</v>
      </c>
    </row>
    <row r="43" spans="2:19">
      <c r="B43">
        <f>-LN(-'用于回归的形式 (2)'!B43)</f>
        <v>-11.2755456495167</v>
      </c>
      <c r="C43">
        <f>LN('用于回归的形式 (2)'!C43)</f>
        <v>7.2291138777933</v>
      </c>
      <c r="D43">
        <f>LN('用于回归的形式 (2)'!D43)</f>
        <v>10.6588631378403</v>
      </c>
      <c r="E43">
        <f>LN('用于回归的形式 (2)'!E43)</f>
        <v>9.73583310587357</v>
      </c>
      <c r="F43">
        <f t="shared" si="7"/>
        <v>20.948397834787</v>
      </c>
      <c r="G43">
        <f t="shared" si="9"/>
        <v>52.2600874581037</v>
      </c>
      <c r="H43">
        <f t="shared" si="9"/>
        <v>113.61136339121</v>
      </c>
      <c r="I43">
        <f t="shared" si="9"/>
        <v>94.7864462654239</v>
      </c>
      <c r="J43">
        <f t="shared" si="1"/>
        <v>77.0541354312606</v>
      </c>
      <c r="K43">
        <f t="shared" si="2"/>
        <v>70.3814462175501</v>
      </c>
      <c r="L43">
        <f t="shared" si="3"/>
        <v>103.772912608361</v>
      </c>
      <c r="M43">
        <f t="shared" si="8"/>
        <v>438.835371844507</v>
      </c>
      <c r="N43">
        <f t="shared" si="4"/>
        <v>151.438353504994</v>
      </c>
      <c r="O43">
        <f t="shared" si="5"/>
        <v>223.286105478024</v>
      </c>
      <c r="P43">
        <f t="shared" si="6"/>
        <v>203.950105154929</v>
      </c>
      <c r="S43">
        <f>LN('用于回归的形式 (2)'!S43)</f>
        <v>9.6728521852703</v>
      </c>
    </row>
    <row r="44" spans="2:19">
      <c r="B44">
        <f>-LN(-'用于回归的形式 (2)'!B44)</f>
        <v>-11.2692514555507</v>
      </c>
      <c r="C44">
        <f>LN('用于回归的形式 (2)'!C44)</f>
        <v>7.22256601882217</v>
      </c>
      <c r="D44">
        <f>LN('用于回归的形式 (2)'!D44)</f>
        <v>10.8723526010999</v>
      </c>
      <c r="E44">
        <f>LN('用于回归的形式 (2)'!E44)</f>
        <v>9.77247697997326</v>
      </c>
      <c r="F44">
        <f t="shared" si="7"/>
        <v>21.0052963854344</v>
      </c>
      <c r="G44">
        <f t="shared" si="9"/>
        <v>52.1654598962447</v>
      </c>
      <c r="H44">
        <f t="shared" si="9"/>
        <v>118.208051082645</v>
      </c>
      <c r="I44">
        <f t="shared" si="9"/>
        <v>95.5013063241072</v>
      </c>
      <c r="J44">
        <f t="shared" si="1"/>
        <v>78.5262844413572</v>
      </c>
      <c r="K44">
        <f t="shared" si="2"/>
        <v>70.5823601552768</v>
      </c>
      <c r="L44">
        <f t="shared" si="3"/>
        <v>106.249815512401</v>
      </c>
      <c r="M44">
        <f t="shared" si="8"/>
        <v>441.222476239944</v>
      </c>
      <c r="N44">
        <f t="shared" si="4"/>
        <v>151.712139888727</v>
      </c>
      <c r="O44">
        <f t="shared" si="5"/>
        <v>228.376988793053</v>
      </c>
      <c r="P44">
        <f t="shared" si="6"/>
        <v>205.273775384173</v>
      </c>
      <c r="S44">
        <f>LN('用于回归的形式 (2)'!S44)</f>
        <v>9.73604492988367</v>
      </c>
    </row>
    <row r="45" spans="2:19">
      <c r="B45">
        <f>-LN(-'用于回归的形式 (2)'!B45)</f>
        <v>-11.2972540401572</v>
      </c>
      <c r="C45">
        <f>LN('用于回归的形式 (2)'!C45)</f>
        <v>7.2152399787301</v>
      </c>
      <c r="D45">
        <f>LN('用于回归的形式 (2)'!D45)</f>
        <v>11.085701779859</v>
      </c>
      <c r="E45">
        <f>LN('用于回归的形式 (2)'!E45)</f>
        <v>9.8073873607545</v>
      </c>
      <c r="F45">
        <f t="shared" si="7"/>
        <v>21.082531586967</v>
      </c>
      <c r="G45">
        <f t="shared" si="9"/>
        <v>52.0596879506651</v>
      </c>
      <c r="H45">
        <f t="shared" si="9"/>
        <v>122.892783951969</v>
      </c>
      <c r="I45">
        <f t="shared" si="9"/>
        <v>96.1848468438872</v>
      </c>
      <c r="J45">
        <f t="shared" si="1"/>
        <v>79.9859986743179</v>
      </c>
      <c r="K45">
        <f t="shared" si="2"/>
        <v>70.7626533722081</v>
      </c>
      <c r="L45">
        <f t="shared" si="3"/>
        <v>108.721771520883</v>
      </c>
      <c r="M45">
        <f t="shared" si="8"/>
        <v>444.473138115461</v>
      </c>
      <c r="N45">
        <f t="shared" si="4"/>
        <v>152.115524759124</v>
      </c>
      <c r="O45">
        <f t="shared" si="5"/>
        <v>233.714657937573</v>
      </c>
      <c r="P45">
        <f t="shared" si="6"/>
        <v>206.764553818728</v>
      </c>
      <c r="S45">
        <f>LN('用于回归的形式 (2)'!S45)</f>
        <v>9.78527754680975</v>
      </c>
    </row>
    <row r="46" spans="2:19">
      <c r="B46">
        <f>-LN(-'用于回归的形式 (2)'!B46)</f>
        <v>-11.2302971897361</v>
      </c>
      <c r="C46">
        <f>LN('用于回归的形式 (2)'!C46)</f>
        <v>7.2086003379602</v>
      </c>
      <c r="D46">
        <f>LN('用于回归的形式 (2)'!D46)</f>
        <v>11.1937077948537</v>
      </c>
      <c r="E46">
        <f>LN('用于回归的形式 (2)'!E46)</f>
        <v>9.84074528383744</v>
      </c>
      <c r="F46">
        <f t="shared" si="7"/>
        <v>21.0190195174843</v>
      </c>
      <c r="G46">
        <f t="shared" si="9"/>
        <v>51.9639188324399</v>
      </c>
      <c r="H46">
        <f t="shared" si="9"/>
        <v>125.299094196569</v>
      </c>
      <c r="I46">
        <f t="shared" si="9"/>
        <v>96.8402677413687</v>
      </c>
      <c r="J46">
        <f t="shared" si="1"/>
        <v>80.6909657930102</v>
      </c>
      <c r="K46">
        <f t="shared" si="2"/>
        <v>70.9379997788508</v>
      </c>
      <c r="L46">
        <f t="shared" si="3"/>
        <v>110.154427190861</v>
      </c>
      <c r="M46">
        <f t="shared" si="8"/>
        <v>441.799181476387</v>
      </c>
      <c r="N46">
        <f t="shared" si="4"/>
        <v>151.51771119733</v>
      </c>
      <c r="O46">
        <f t="shared" si="5"/>
        <v>235.280762613047</v>
      </c>
      <c r="P46">
        <f t="shared" si="6"/>
        <v>206.842817187571</v>
      </c>
      <c r="S46">
        <f>LN('用于回归的形式 (2)'!S46)</f>
        <v>9.78872232774819</v>
      </c>
    </row>
    <row r="47" spans="2:19">
      <c r="B47">
        <f>-LN(-'用于回归的形式 (2)'!B47)</f>
        <v>-11.2313780921301</v>
      </c>
      <c r="C47">
        <f>LN('用于回归的形式 (2)'!C47)</f>
        <v>7.18992217074581</v>
      </c>
      <c r="D47">
        <f>LN('用于回归的形式 (2)'!D47)</f>
        <v>11.2994260318947</v>
      </c>
      <c r="E47">
        <f>LN('用于回归的形式 (2)'!E47)</f>
        <v>9.86836076781027</v>
      </c>
      <c r="F47">
        <f t="shared" si="7"/>
        <v>21.036596591711</v>
      </c>
      <c r="G47">
        <f t="shared" si="9"/>
        <v>51.6949808213821</v>
      </c>
      <c r="H47">
        <f t="shared" si="9"/>
        <v>127.67702865026</v>
      </c>
      <c r="I47">
        <f t="shared" si="9"/>
        <v>97.3845442436569</v>
      </c>
      <c r="J47">
        <f t="shared" si="1"/>
        <v>81.2419937434223</v>
      </c>
      <c r="K47">
        <f t="shared" si="2"/>
        <v>70.9527458733972</v>
      </c>
      <c r="L47">
        <f t="shared" si="3"/>
        <v>111.506812551924</v>
      </c>
      <c r="M47">
        <f t="shared" si="8"/>
        <v>442.538396162388</v>
      </c>
      <c r="N47">
        <f t="shared" si="4"/>
        <v>151.251492231779</v>
      </c>
      <c r="O47">
        <f t="shared" si="5"/>
        <v>237.701467150848</v>
      </c>
      <c r="P47">
        <f t="shared" si="6"/>
        <v>207.596724493892</v>
      </c>
      <c r="S47">
        <f>LN('用于回归的形式 (2)'!S47)</f>
        <v>9.8052184995809</v>
      </c>
    </row>
    <row r="48" spans="2:19">
      <c r="B48">
        <f>-LN(-'用于回归的形式 (2)'!B48)</f>
        <v>-11.245141365744</v>
      </c>
      <c r="C48">
        <f>LN('用于回归的形式 (2)'!C48)</f>
        <v>7.18311170174328</v>
      </c>
      <c r="D48">
        <f>LN('用于回归的形式 (2)'!D48)</f>
        <v>11.3740540968774</v>
      </c>
      <c r="E48">
        <f>LN('用于回归的形式 (2)'!E48)</f>
        <v>9.89158904521894</v>
      </c>
      <c r="F48">
        <f t="shared" si="7"/>
        <v>20.931480485278</v>
      </c>
      <c r="G48">
        <f t="shared" si="9"/>
        <v>51.5970937197213</v>
      </c>
      <c r="H48">
        <f t="shared" si="9"/>
        <v>129.369106598694</v>
      </c>
      <c r="I48">
        <f t="shared" si="9"/>
        <v>97.8435338394954</v>
      </c>
      <c r="J48">
        <f t="shared" si="1"/>
        <v>81.7011010795412</v>
      </c>
      <c r="K48">
        <f t="shared" si="2"/>
        <v>71.0523890195478</v>
      </c>
      <c r="L48">
        <f t="shared" si="3"/>
        <v>112.5074689044</v>
      </c>
      <c r="M48">
        <f t="shared" si="8"/>
        <v>438.126875305576</v>
      </c>
      <c r="N48">
        <f t="shared" si="4"/>
        <v>150.353162408612</v>
      </c>
      <c r="O48">
        <f t="shared" si="5"/>
        <v>238.075791367286</v>
      </c>
      <c r="P48">
        <f t="shared" si="6"/>
        <v>207.04560306839</v>
      </c>
      <c r="S48">
        <f>LN('用于回归的形式 (2)'!S48)</f>
        <v>9.68633911953404</v>
      </c>
    </row>
    <row r="49" spans="2:19">
      <c r="B49">
        <f>-LN(-'用于回归的形式 (2)'!B49)</f>
        <v>-11.3592767432065</v>
      </c>
      <c r="C49">
        <f>LN('用于回归的形式 (2)'!C49)</f>
        <v>7.1731917424866</v>
      </c>
      <c r="D49">
        <f>LN('用于回归的形式 (2)'!D49)</f>
        <v>11.394888290236</v>
      </c>
      <c r="E49">
        <f>LN('用于回归的形式 (2)'!E49)</f>
        <v>10.0462220290726</v>
      </c>
      <c r="F49">
        <f t="shared" si="7"/>
        <v>21.048382250097</v>
      </c>
      <c r="G49">
        <f t="shared" si="9"/>
        <v>51.4546797744779</v>
      </c>
      <c r="H49">
        <f t="shared" si="9"/>
        <v>129.843479146957</v>
      </c>
      <c r="I49">
        <f t="shared" si="9"/>
        <v>100.926577057423</v>
      </c>
      <c r="J49">
        <f t="shared" si="1"/>
        <v>81.737718590078</v>
      </c>
      <c r="K49">
        <f t="shared" si="2"/>
        <v>72.0634769021303</v>
      </c>
      <c r="L49">
        <f t="shared" si="3"/>
        <v>114.47557776019</v>
      </c>
      <c r="M49">
        <f t="shared" si="8"/>
        <v>443.034395346198</v>
      </c>
      <c r="N49">
        <f t="shared" si="4"/>
        <v>150.984081749097</v>
      </c>
      <c r="O49">
        <f t="shared" si="5"/>
        <v>239.843964430041</v>
      </c>
      <c r="P49">
        <f t="shared" si="6"/>
        <v>211.456721437264</v>
      </c>
      <c r="S49">
        <f>LN('用于回归的形式 (2)'!S49)</f>
        <v>9.68910550689049</v>
      </c>
    </row>
    <row r="50" spans="2:19">
      <c r="B50">
        <f>-LN(-'用于回归的形式 (2)'!B50)</f>
        <v>-11.4853356202847</v>
      </c>
      <c r="C50">
        <f>LN('用于回归的形式 (2)'!C50)</f>
        <v>7.14834574390007</v>
      </c>
      <c r="D50">
        <f>LN('用于回归的形式 (2)'!D50)</f>
        <v>11.4198621775488</v>
      </c>
      <c r="E50">
        <f>LN('用于回归的形式 (2)'!E50)</f>
        <v>10.1403592402965</v>
      </c>
      <c r="F50">
        <f t="shared" si="7"/>
        <v>21.2387285062395</v>
      </c>
      <c r="G50">
        <f t="shared" si="9"/>
        <v>51.0988468743342</v>
      </c>
      <c r="H50">
        <f t="shared" si="9"/>
        <v>130.41325215421</v>
      </c>
      <c r="I50">
        <f t="shared" si="9"/>
        <v>102.826885522266</v>
      </c>
      <c r="J50">
        <f t="shared" si="1"/>
        <v>81.6331231928066</v>
      </c>
      <c r="K50">
        <f t="shared" si="2"/>
        <v>72.4867938169911</v>
      </c>
      <c r="L50">
        <f t="shared" si="3"/>
        <v>115.80150495502</v>
      </c>
      <c r="M50">
        <f t="shared" si="8"/>
        <v>451.083588561751</v>
      </c>
      <c r="N50">
        <f t="shared" si="4"/>
        <v>151.821774523426</v>
      </c>
      <c r="O50">
        <f t="shared" si="5"/>
        <v>242.543352367633</v>
      </c>
      <c r="P50">
        <f t="shared" si="6"/>
        <v>215.368336860394</v>
      </c>
      <c r="S50">
        <f>LN('用于回归的形式 (2)'!S50)</f>
        <v>9.75339288595478</v>
      </c>
    </row>
    <row r="51" spans="2:19">
      <c r="B51">
        <f>-LN(-'用于回归的形式 (2)'!B51)</f>
        <v>-11.5585317043469</v>
      </c>
      <c r="C51">
        <f>LN('用于回归的形式 (2)'!C51)</f>
        <v>7.12447826249342</v>
      </c>
      <c r="D51">
        <f>LN('用于回归的形式 (2)'!D51)</f>
        <v>11.4399449325785</v>
      </c>
      <c r="E51">
        <f>LN('用于回归的形式 (2)'!E51)</f>
        <v>10.2085299340161</v>
      </c>
      <c r="F51">
        <f t="shared" si="7"/>
        <v>21.3204453238439</v>
      </c>
      <c r="G51">
        <f t="shared" si="9"/>
        <v>50.7581905127413</v>
      </c>
      <c r="H51">
        <f t="shared" si="9"/>
        <v>130.872340060429</v>
      </c>
      <c r="I51">
        <f t="shared" si="9"/>
        <v>104.214083413703</v>
      </c>
      <c r="J51">
        <f t="shared" si="1"/>
        <v>81.5036389962774</v>
      </c>
      <c r="K51">
        <f t="shared" si="2"/>
        <v>72.7304496069111</v>
      </c>
      <c r="L51">
        <f t="shared" si="3"/>
        <v>116.785020287723</v>
      </c>
      <c r="M51">
        <f t="shared" si="8"/>
        <v>454.561388807017</v>
      </c>
      <c r="N51">
        <f t="shared" si="4"/>
        <v>151.897049256405</v>
      </c>
      <c r="O51">
        <f t="shared" si="5"/>
        <v>243.904720442825</v>
      </c>
      <c r="P51">
        <f t="shared" si="6"/>
        <v>217.650404295014</v>
      </c>
      <c r="S51">
        <f>LN('用于回归的形式 (2)'!S51)</f>
        <v>9.76191361949699</v>
      </c>
    </row>
    <row r="52" spans="2:19">
      <c r="B52">
        <f>-LN(-'用于回归的形式 (2)'!B52)</f>
        <v>-9.73916791273226</v>
      </c>
      <c r="C52">
        <f>LN('用于回归的形式 (2)'!C52)</f>
        <v>7.2291138777933</v>
      </c>
      <c r="D52">
        <f>LN('用于回归的形式 (2)'!D52)</f>
        <v>9.39794936309069</v>
      </c>
      <c r="E52">
        <f>LN('用于回归的形式 (2)'!E52)</f>
        <v>8.76306684549168</v>
      </c>
      <c r="F52">
        <f t="shared" si="7"/>
        <v>18.2604268278812</v>
      </c>
      <c r="G52">
        <f t="shared" si="9"/>
        <v>52.2600874581037</v>
      </c>
      <c r="H52">
        <f t="shared" si="9"/>
        <v>88.3214522312168</v>
      </c>
      <c r="I52">
        <f t="shared" si="9"/>
        <v>76.7913405385555</v>
      </c>
      <c r="J52">
        <f t="shared" si="1"/>
        <v>67.9388461635177</v>
      </c>
      <c r="K52">
        <f t="shared" si="2"/>
        <v>63.3492081447743</v>
      </c>
      <c r="L52">
        <f t="shared" si="3"/>
        <v>82.3548584793097</v>
      </c>
      <c r="M52">
        <f t="shared" si="8"/>
        <v>333.443187936404</v>
      </c>
      <c r="N52">
        <f t="shared" si="4"/>
        <v>132.006704995865</v>
      </c>
      <c r="O52">
        <f t="shared" si="5"/>
        <v>171.610566676851</v>
      </c>
      <c r="P52">
        <f t="shared" si="6"/>
        <v>160.017340919933</v>
      </c>
      <c r="S52">
        <f>LN('用于回归的形式 (2)'!S52)</f>
        <v>8.52125891514896</v>
      </c>
    </row>
    <row r="53" spans="2:19">
      <c r="B53">
        <f>-LN(-'用于回归的形式 (2)'!B53)</f>
        <v>-9.76280942033555</v>
      </c>
      <c r="C53">
        <f>LN('用于回归的形式 (2)'!C53)</f>
        <v>7.21376830811864</v>
      </c>
      <c r="D53">
        <f>LN('用于回归的形式 (2)'!D53)</f>
        <v>9.62150586820168</v>
      </c>
      <c r="E53">
        <f>LN('用于回归的形式 (2)'!E53)</f>
        <v>8.83837193359006</v>
      </c>
      <c r="F53">
        <f t="shared" si="7"/>
        <v>18.4022563427625</v>
      </c>
      <c r="G53">
        <f t="shared" si="9"/>
        <v>52.0384532032169</v>
      </c>
      <c r="H53">
        <f t="shared" si="9"/>
        <v>92.5733751718394</v>
      </c>
      <c r="I53">
        <f t="shared" si="9"/>
        <v>78.1168184364725</v>
      </c>
      <c r="J53">
        <f t="shared" si="1"/>
        <v>69.4073141084108</v>
      </c>
      <c r="K53">
        <f t="shared" si="2"/>
        <v>63.7579673498973</v>
      </c>
      <c r="L53">
        <f t="shared" si="3"/>
        <v>85.0384474243858</v>
      </c>
      <c r="M53">
        <f t="shared" si="8"/>
        <v>338.643038504744</v>
      </c>
      <c r="N53">
        <f t="shared" si="4"/>
        <v>132.749613603296</v>
      </c>
      <c r="O53">
        <f t="shared" si="5"/>
        <v>177.057417390041</v>
      </c>
      <c r="P53">
        <f t="shared" si="6"/>
        <v>162.645985974602</v>
      </c>
      <c r="S53">
        <f>LN('用于回归的形式 (2)'!S53)</f>
        <v>8.63944692242699</v>
      </c>
    </row>
    <row r="54" spans="2:19">
      <c r="B54">
        <f>-LN(-'用于回归的形式 (2)'!B54)</f>
        <v>-9.8062411935193</v>
      </c>
      <c r="C54">
        <f>LN('用于回归的形式 (2)'!C54)</f>
        <v>7.20934025660291</v>
      </c>
      <c r="D54">
        <f>LN('用于回归的形式 (2)'!D54)</f>
        <v>9.83510420922891</v>
      </c>
      <c r="E54">
        <f>LN('用于回归的形式 (2)'!E54)</f>
        <v>8.8938087923403</v>
      </c>
      <c r="F54">
        <f t="shared" si="7"/>
        <v>18.5594060731351</v>
      </c>
      <c r="G54">
        <f t="shared" si="9"/>
        <v>51.9745869354753</v>
      </c>
      <c r="H54">
        <f t="shared" si="9"/>
        <v>96.7292748063923</v>
      </c>
      <c r="I54">
        <f t="shared" si="9"/>
        <v>79.0998348347096</v>
      </c>
      <c r="J54">
        <f t="shared" si="1"/>
        <v>70.9046127034787</v>
      </c>
      <c r="K54">
        <f t="shared" si="2"/>
        <v>64.1184937611478</v>
      </c>
      <c r="L54">
        <f t="shared" si="3"/>
        <v>87.4715362896232</v>
      </c>
      <c r="M54">
        <f t="shared" si="8"/>
        <v>344.451553787526</v>
      </c>
      <c r="N54">
        <f t="shared" si="4"/>
        <v>133.801073341694</v>
      </c>
      <c r="O54">
        <f t="shared" si="5"/>
        <v>182.53369279068</v>
      </c>
      <c r="P54">
        <f t="shared" si="6"/>
        <v>165.063808913863</v>
      </c>
      <c r="S54">
        <f>LN('用于回归的形式 (2)'!S54)</f>
        <v>8.75316487961584</v>
      </c>
    </row>
    <row r="55" spans="2:19">
      <c r="B55">
        <f>-LN(-'用于回归的形式 (2)'!B55)</f>
        <v>-9.8007267230603</v>
      </c>
      <c r="C55">
        <f>LN('用于回归的形式 (2)'!C55)</f>
        <v>7.20637729147225</v>
      </c>
      <c r="D55">
        <f>LN('用于回归的形式 (2)'!D55)</f>
        <v>10.0558719041883</v>
      </c>
      <c r="E55">
        <f>LN('用于回归的形式 (2)'!E55)</f>
        <v>8.9255142175056</v>
      </c>
      <c r="F55">
        <f t="shared" si="7"/>
        <v>18.6308048285492</v>
      </c>
      <c r="G55">
        <f t="shared" si="9"/>
        <v>51.931873667047</v>
      </c>
      <c r="H55">
        <f t="shared" si="9"/>
        <v>101.120559753444</v>
      </c>
      <c r="I55">
        <f t="shared" si="9"/>
        <v>79.6648040468946</v>
      </c>
      <c r="J55">
        <f t="shared" si="1"/>
        <v>72.4664069362964</v>
      </c>
      <c r="K55">
        <f t="shared" si="2"/>
        <v>64.3206229717451</v>
      </c>
      <c r="L55">
        <f t="shared" si="3"/>
        <v>89.7538276502478</v>
      </c>
      <c r="M55">
        <f t="shared" si="8"/>
        <v>347.106888559493</v>
      </c>
      <c r="N55">
        <f t="shared" si="4"/>
        <v>134.260608838309</v>
      </c>
      <c r="O55">
        <f t="shared" si="5"/>
        <v>187.348986827824</v>
      </c>
      <c r="P55">
        <f t="shared" si="6"/>
        <v>166.289513380788</v>
      </c>
      <c r="S55">
        <f>LN('用于回归的形式 (2)'!S55)</f>
        <v>8.83007810548893</v>
      </c>
    </row>
    <row r="56" spans="2:19">
      <c r="B56">
        <f>-LN(-'用于回归的形式 (2)'!B56)</f>
        <v>-9.77891760461826</v>
      </c>
      <c r="C56">
        <f>LN('用于回归的形式 (2)'!C56)</f>
        <v>7.20489251020467</v>
      </c>
      <c r="D56">
        <f>LN('用于回归的形式 (2)'!D56)</f>
        <v>10.2686766444709</v>
      </c>
      <c r="E56">
        <f>LN('用于回归的形式 (2)'!E56)</f>
        <v>8.92112378943245</v>
      </c>
      <c r="F56">
        <f t="shared" si="7"/>
        <v>18.6021704953632</v>
      </c>
      <c r="G56">
        <f t="shared" si="9"/>
        <v>51.9104760836034</v>
      </c>
      <c r="H56">
        <f t="shared" si="9"/>
        <v>105.445720028702</v>
      </c>
      <c r="I56">
        <f t="shared" si="9"/>
        <v>79.5864496663776</v>
      </c>
      <c r="J56">
        <f t="shared" si="1"/>
        <v>73.9847114454621</v>
      </c>
      <c r="K56">
        <f t="shared" si="2"/>
        <v>64.2757379730906</v>
      </c>
      <c r="L56">
        <f t="shared" si="3"/>
        <v>91.6081354989788</v>
      </c>
      <c r="M56">
        <f t="shared" si="8"/>
        <v>346.040747138562</v>
      </c>
      <c r="N56">
        <f t="shared" si="4"/>
        <v>134.026638875593</v>
      </c>
      <c r="O56">
        <f t="shared" si="5"/>
        <v>191.019673702202</v>
      </c>
      <c r="P56">
        <f t="shared" si="6"/>
        <v>165.952265741263</v>
      </c>
      <c r="S56">
        <f>LN('用于回归的形式 (2)'!S56)</f>
        <v>8.82325289074497</v>
      </c>
    </row>
    <row r="57" spans="2:19">
      <c r="B57">
        <f>-LN(-'用于回归的形式 (2)'!B57)</f>
        <v>-9.73929975772757</v>
      </c>
      <c r="C57">
        <f>LN('用于回归的形式 (2)'!C57)</f>
        <v>7.20117088328168</v>
      </c>
      <c r="D57">
        <f>LN('用于回归的形式 (2)'!D57)</f>
        <v>10.4538036185544</v>
      </c>
      <c r="E57">
        <f>LN('用于回归的形式 (2)'!E57)</f>
        <v>8.89562003804941</v>
      </c>
      <c r="F57">
        <f t="shared" si="7"/>
        <v>18.6211874503002</v>
      </c>
      <c r="G57">
        <f t="shared" si="9"/>
        <v>51.8568620902238</v>
      </c>
      <c r="H57">
        <f t="shared" si="9"/>
        <v>109.2820100953</v>
      </c>
      <c r="I57">
        <f t="shared" si="9"/>
        <v>79.1320558613462</v>
      </c>
      <c r="J57">
        <f t="shared" si="1"/>
        <v>75.2796262374783</v>
      </c>
      <c r="K57">
        <f t="shared" si="2"/>
        <v>64.0588800067385</v>
      </c>
      <c r="L57">
        <f t="shared" si="3"/>
        <v>92.9930649430457</v>
      </c>
      <c r="M57">
        <f t="shared" si="8"/>
        <v>346.748622059219</v>
      </c>
      <c r="N57">
        <f t="shared" si="4"/>
        <v>134.094352879232</v>
      </c>
      <c r="O57">
        <f t="shared" si="5"/>
        <v>194.662236749728</v>
      </c>
      <c r="P57">
        <f t="shared" si="6"/>
        <v>165.647008215165</v>
      </c>
      <c r="S57">
        <f>LN('用于回归的形式 (2)'!S57)</f>
        <v>8.88188769257267</v>
      </c>
    </row>
    <row r="58" spans="2:19">
      <c r="B58">
        <f>-LN(-'用于回归的形式 (2)'!B58)</f>
        <v>-9.76414941982982</v>
      </c>
      <c r="C58">
        <f>LN('用于回归的形式 (2)'!C58)</f>
        <v>7.19818357710194</v>
      </c>
      <c r="D58">
        <f>LN('用于回归的形式 (2)'!D58)</f>
        <v>10.6184260863959</v>
      </c>
      <c r="E58">
        <f>LN('用于回归的形式 (2)'!E58)</f>
        <v>8.92314218243418</v>
      </c>
      <c r="F58">
        <f t="shared" si="7"/>
        <v>18.6814466449745</v>
      </c>
      <c r="G58">
        <f t="shared" si="9"/>
        <v>51.8138468096601</v>
      </c>
      <c r="H58">
        <f t="shared" si="9"/>
        <v>112.750972552253</v>
      </c>
      <c r="I58">
        <f t="shared" si="9"/>
        <v>79.6224664079363</v>
      </c>
      <c r="J58">
        <f t="shared" si="1"/>
        <v>76.4333802697658</v>
      </c>
      <c r="K58">
        <f t="shared" si="2"/>
        <v>64.2304155137433</v>
      </c>
      <c r="L58">
        <f t="shared" si="3"/>
        <v>94.7497257225787</v>
      </c>
      <c r="M58">
        <f t="shared" si="8"/>
        <v>348.996448749028</v>
      </c>
      <c r="N58">
        <f t="shared" si="4"/>
        <v>134.472482436361</v>
      </c>
      <c r="O58">
        <f t="shared" si="5"/>
        <v>198.36756038661</v>
      </c>
      <c r="P58">
        <f t="shared" si="6"/>
        <v>166.697204586665</v>
      </c>
      <c r="S58">
        <f>LN('用于回归的形式 (2)'!S58)</f>
        <v>8.91729722514465</v>
      </c>
    </row>
    <row r="59" spans="2:19">
      <c r="B59">
        <f>-LN(-'用于回归的形式 (2)'!B59)</f>
        <v>-9.81190110256953</v>
      </c>
      <c r="C59">
        <f>LN('用于回归的形式 (2)'!C59)</f>
        <v>7.19818357710194</v>
      </c>
      <c r="D59">
        <f>LN('用于回归的形式 (2)'!D59)</f>
        <v>10.7389779858996</v>
      </c>
      <c r="E59">
        <f>LN('用于回归的形式 (2)'!E59)</f>
        <v>8.96476458898474</v>
      </c>
      <c r="F59">
        <f t="shared" si="7"/>
        <v>18.8120227861705</v>
      </c>
      <c r="G59">
        <f t="shared" si="9"/>
        <v>51.8138468096601</v>
      </c>
      <c r="H59">
        <f t="shared" si="9"/>
        <v>115.325648181636</v>
      </c>
      <c r="I59">
        <f t="shared" si="9"/>
        <v>80.3670041359147</v>
      </c>
      <c r="J59">
        <f t="shared" si="1"/>
        <v>77.3011349729616</v>
      </c>
      <c r="K59">
        <f t="shared" si="2"/>
        <v>64.530021237015</v>
      </c>
      <c r="L59">
        <f t="shared" si="3"/>
        <v>96.2724095698791</v>
      </c>
      <c r="M59">
        <f t="shared" si="8"/>
        <v>353.892201307399</v>
      </c>
      <c r="N59">
        <f t="shared" si="4"/>
        <v>135.41239347148</v>
      </c>
      <c r="O59">
        <f t="shared" si="5"/>
        <v>202.021898570926</v>
      </c>
      <c r="P59">
        <f t="shared" si="6"/>
        <v>168.645355720635</v>
      </c>
      <c r="S59">
        <f>LN('用于回归的形式 (2)'!S59)</f>
        <v>9.00012168360099</v>
      </c>
    </row>
    <row r="60" spans="2:19">
      <c r="B60">
        <f>-LN(-'用于回归的形式 (2)'!B60)</f>
        <v>-9.82790898976825</v>
      </c>
      <c r="C60">
        <f>LN('用于回归的形式 (2)'!C60)</f>
        <v>7.19518732017871</v>
      </c>
      <c r="D60">
        <f>LN('用于回归的形式 (2)'!D60)</f>
        <v>10.8484589320838</v>
      </c>
      <c r="E60">
        <f>LN('用于回归的形式 (2)'!E60)</f>
        <v>8.96418660454866</v>
      </c>
      <c r="F60">
        <f t="shared" si="7"/>
        <v>18.9010885335368</v>
      </c>
      <c r="G60">
        <f t="shared" si="9"/>
        <v>51.7707205724605</v>
      </c>
      <c r="H60">
        <f t="shared" si="9"/>
        <v>117.68906120111</v>
      </c>
      <c r="I60">
        <f t="shared" si="9"/>
        <v>80.3566414811696</v>
      </c>
      <c r="J60">
        <f t="shared" si="1"/>
        <v>78.0566941516092</v>
      </c>
      <c r="K60">
        <f t="shared" si="2"/>
        <v>64.4990017927643</v>
      </c>
      <c r="L60">
        <f t="shared" si="3"/>
        <v>97.2476102389822</v>
      </c>
      <c r="M60">
        <f t="shared" si="8"/>
        <v>357.251147752597</v>
      </c>
      <c r="N60">
        <f t="shared" si="4"/>
        <v>135.996872554079</v>
      </c>
      <c r="O60">
        <f t="shared" si="5"/>
        <v>205.047682727755</v>
      </c>
      <c r="P60">
        <f t="shared" si="6"/>
        <v>169.432884643719</v>
      </c>
      <c r="S60">
        <f>LN('用于回归的形式 (2)'!S60)</f>
        <v>9.07317954376856</v>
      </c>
    </row>
    <row r="61" spans="2:19">
      <c r="B61">
        <f>-LN(-'用于回归的形式 (2)'!B61)</f>
        <v>-9.88321609914817</v>
      </c>
      <c r="C61">
        <f>LN('用于回归的形式 (2)'!C61)</f>
        <v>7.19368581839511</v>
      </c>
      <c r="D61">
        <f>LN('用于回归的形式 (2)'!D61)</f>
        <v>10.9515934271303</v>
      </c>
      <c r="E61">
        <f>LN('用于回归的形式 (2)'!E61)</f>
        <v>9.00020065314716</v>
      </c>
      <c r="F61">
        <f t="shared" si="7"/>
        <v>18.9900497916055</v>
      </c>
      <c r="G61">
        <f t="shared" si="9"/>
        <v>51.749115653779</v>
      </c>
      <c r="H61">
        <f t="shared" si="9"/>
        <v>119.937398593164</v>
      </c>
      <c r="I61">
        <f t="shared" si="9"/>
        <v>81.0036117969106</v>
      </c>
      <c r="J61">
        <f t="shared" si="1"/>
        <v>78.7823223255763</v>
      </c>
      <c r="K61">
        <f t="shared" si="2"/>
        <v>64.7446158012552</v>
      </c>
      <c r="L61">
        <f t="shared" si="3"/>
        <v>98.5665383158603</v>
      </c>
      <c r="M61">
        <f t="shared" si="8"/>
        <v>360.621991087657</v>
      </c>
      <c r="N61">
        <f t="shared" si="4"/>
        <v>136.60845187649</v>
      </c>
      <c r="O61">
        <f t="shared" si="5"/>
        <v>207.971304478624</v>
      </c>
      <c r="P61">
        <f t="shared" si="6"/>
        <v>170.914258537705</v>
      </c>
      <c r="S61">
        <f>LN('用于回归的形式 (2)'!S61)</f>
        <v>9.10683369245736</v>
      </c>
    </row>
    <row r="62" spans="2:19">
      <c r="B62">
        <f>-LN(-'用于回归的形式 (2)'!B62)</f>
        <v>-9.85717250793451</v>
      </c>
      <c r="C62">
        <f>LN('用于回归的形式 (2)'!C62)</f>
        <v>6.17065621089301</v>
      </c>
      <c r="D62">
        <f>LN('用于回归的形式 (2)'!D62)</f>
        <v>8.55443007172494</v>
      </c>
      <c r="E62">
        <f>LN('用于回归的形式 (2)'!E62)</f>
        <v>8.45954289191449</v>
      </c>
      <c r="F62">
        <f t="shared" si="7"/>
        <v>17.5079169592338</v>
      </c>
      <c r="G62">
        <f t="shared" si="9"/>
        <v>38.0769980730325</v>
      </c>
      <c r="H62">
        <f t="shared" si="9"/>
        <v>73.178273852032</v>
      </c>
      <c r="I62">
        <f t="shared" si="9"/>
        <v>71.5638659401409</v>
      </c>
      <c r="J62">
        <f t="shared" si="1"/>
        <v>52.7864470527394</v>
      </c>
      <c r="K62">
        <f t="shared" si="2"/>
        <v>52.2009308873079</v>
      </c>
      <c r="L62">
        <f t="shared" si="3"/>
        <v>72.3665681076403</v>
      </c>
      <c r="M62">
        <f t="shared" si="8"/>
        <v>306.527156251425</v>
      </c>
      <c r="N62">
        <f t="shared" si="4"/>
        <v>108.035336524295</v>
      </c>
      <c r="O62">
        <f t="shared" si="5"/>
        <v>149.770251329332</v>
      </c>
      <c r="P62">
        <f t="shared" si="6"/>
        <v>148.108974464715</v>
      </c>
      <c r="S62">
        <f>LN('用于回归的形式 (2)'!S62)</f>
        <v>7.65074445129926</v>
      </c>
    </row>
    <row r="63" spans="2:19">
      <c r="B63">
        <f>-LN(-'用于回归的形式 (2)'!B63)</f>
        <v>-9.84463744798901</v>
      </c>
      <c r="C63">
        <f>LN('用于回归的形式 (2)'!C63)</f>
        <v>6.19011046682179</v>
      </c>
      <c r="D63">
        <f>LN('用于回归的形式 (2)'!D63)</f>
        <v>8.82482521011627</v>
      </c>
      <c r="E63">
        <f>LN('用于回归的形式 (2)'!E63)</f>
        <v>8.49601041214833</v>
      </c>
      <c r="F63">
        <f t="shared" si="7"/>
        <v>17.6030947864919</v>
      </c>
      <c r="G63">
        <f t="shared" si="9"/>
        <v>38.3174675914567</v>
      </c>
      <c r="H63">
        <f t="shared" si="9"/>
        <v>77.8775399891037</v>
      </c>
      <c r="I63">
        <f t="shared" si="9"/>
        <v>72.1821929233329</v>
      </c>
      <c r="J63">
        <f t="shared" si="1"/>
        <v>54.6266429010135</v>
      </c>
      <c r="K63">
        <f t="shared" si="2"/>
        <v>52.5912429784663</v>
      </c>
      <c r="L63">
        <f t="shared" si="3"/>
        <v>74.9758068705369</v>
      </c>
      <c r="M63">
        <f t="shared" si="8"/>
        <v>309.868946062219</v>
      </c>
      <c r="N63">
        <f t="shared" si="4"/>
        <v>108.96510128632</v>
      </c>
      <c r="O63">
        <f t="shared" si="5"/>
        <v>155.3442346479</v>
      </c>
      <c r="P63">
        <f t="shared" si="6"/>
        <v>149.556076592069</v>
      </c>
      <c r="S63">
        <f>LN('用于回归的形式 (2)'!S63)</f>
        <v>7.7584573385029</v>
      </c>
    </row>
    <row r="64" spans="2:19">
      <c r="B64">
        <f>-LN(-'用于回归的形式 (2)'!B64)</f>
        <v>-9.8403138279954</v>
      </c>
      <c r="C64">
        <f>LN('用于回归的形式 (2)'!C64)</f>
        <v>6.20253551718792</v>
      </c>
      <c r="D64">
        <f>LN('用于回归的形式 (2)'!D64)</f>
        <v>9.08582518983765</v>
      </c>
      <c r="E64">
        <f>LN('用于回归的形式 (2)'!E64)</f>
        <v>8.55387221567473</v>
      </c>
      <c r="F64">
        <f t="shared" si="7"/>
        <v>17.6949162016167</v>
      </c>
      <c r="G64">
        <f t="shared" si="9"/>
        <v>38.4714468419777</v>
      </c>
      <c r="H64">
        <f t="shared" si="9"/>
        <v>82.5522193802883</v>
      </c>
      <c r="I64">
        <f t="shared" si="9"/>
        <v>73.1687298820921</v>
      </c>
      <c r="J64">
        <f t="shared" si="1"/>
        <v>56.3551534429287</v>
      </c>
      <c r="K64">
        <f t="shared" si="2"/>
        <v>53.0556962272095</v>
      </c>
      <c r="L64">
        <f t="shared" si="3"/>
        <v>77.7189876478298</v>
      </c>
      <c r="M64">
        <f t="shared" si="8"/>
        <v>313.110059382236</v>
      </c>
      <c r="N64">
        <f t="shared" si="4"/>
        <v>109.753346214191</v>
      </c>
      <c r="O64">
        <f t="shared" si="5"/>
        <v>160.772915356715</v>
      </c>
      <c r="P64">
        <f t="shared" si="6"/>
        <v>151.360052055701</v>
      </c>
      <c r="S64">
        <f>LN('用于回归的形式 (2)'!S64)</f>
        <v>7.85460237362127</v>
      </c>
    </row>
    <row r="65" spans="2:19">
      <c r="B65">
        <f>-LN(-'用于回归的形式 (2)'!B65)</f>
        <v>-9.87927594688034</v>
      </c>
      <c r="C65">
        <f>LN('用于回归的形式 (2)'!C65)</f>
        <v>6.21290665178243</v>
      </c>
      <c r="D65">
        <f>LN('用于回归的形式 (2)'!D65)</f>
        <v>9.32211656738856</v>
      </c>
      <c r="E65">
        <f>LN('用于回归的形式 (2)'!E65)</f>
        <v>8.58226906815242</v>
      </c>
      <c r="F65">
        <f t="shared" si="7"/>
        <v>17.7993954824827</v>
      </c>
      <c r="G65">
        <f t="shared" si="9"/>
        <v>38.6002090637624</v>
      </c>
      <c r="H65">
        <f t="shared" si="9"/>
        <v>86.9018572959802</v>
      </c>
      <c r="I65">
        <f t="shared" si="9"/>
        <v>73.6553423581659</v>
      </c>
      <c r="J65">
        <f t="shared" si="1"/>
        <v>57.9174400302196</v>
      </c>
      <c r="K65">
        <f t="shared" si="2"/>
        <v>53.3208365809108</v>
      </c>
      <c r="L65">
        <f t="shared" si="3"/>
        <v>80.0049126660101</v>
      </c>
      <c r="M65">
        <f t="shared" si="8"/>
        <v>316.818479541825</v>
      </c>
      <c r="N65">
        <f t="shared" si="4"/>
        <v>110.585982590823</v>
      </c>
      <c r="O65">
        <f t="shared" si="5"/>
        <v>165.928039516753</v>
      </c>
      <c r="P65">
        <f t="shared" si="6"/>
        <v>152.759201281123</v>
      </c>
      <c r="S65">
        <f>LN('用于回归的形式 (2)'!S65)</f>
        <v>7.92011953560236</v>
      </c>
    </row>
    <row r="66" spans="2:19">
      <c r="B66">
        <f>-LN(-'用于回归的形式 (2)'!B66)</f>
        <v>-9.86981954500068</v>
      </c>
      <c r="C66">
        <f>LN('用于回归的形式 (2)'!C66)</f>
        <v>6.22078895749727</v>
      </c>
      <c r="D66">
        <f>LN('用于回归的形式 (2)'!D66)</f>
        <v>9.52091003960231</v>
      </c>
      <c r="E66">
        <f>LN('用于回归的形式 (2)'!E66)</f>
        <v>8.65030699686337</v>
      </c>
      <c r="F66">
        <f t="shared" si="7"/>
        <v>17.8463359676814</v>
      </c>
      <c r="G66">
        <f t="shared" ref="G66:I81" si="10">C66*C66</f>
        <v>38.69821525372</v>
      </c>
      <c r="H66">
        <f t="shared" si="10"/>
        <v>90.6477279822001</v>
      </c>
      <c r="I66">
        <f t="shared" si="10"/>
        <v>74.8278111399834</v>
      </c>
      <c r="J66">
        <f t="shared" ref="J66:J81" si="11">C66*D66</f>
        <v>59.227572039683</v>
      </c>
      <c r="K66">
        <f t="shared" ref="K66:K81" si="12">C66*E66</f>
        <v>53.811734245049</v>
      </c>
      <c r="L66">
        <f t="shared" ref="L66:L81" si="13">D66*E66</f>
        <v>82.3587947320786</v>
      </c>
      <c r="M66">
        <f t="shared" si="8"/>
        <v>318.491707471359</v>
      </c>
      <c r="N66">
        <f t="shared" ref="N66:N81" si="14">C66*F66</f>
        <v>111.018289719539</v>
      </c>
      <c r="O66">
        <f t="shared" ref="O66:O81" si="15">D66*F66</f>
        <v>169.913359284814</v>
      </c>
      <c r="P66">
        <f t="shared" ref="P66:P81" si="16">E66*F66</f>
        <v>154.376284889609</v>
      </c>
      <c r="S66">
        <f>LN('用于回归的形式 (2)'!S66)</f>
        <v>7.97651642268073</v>
      </c>
    </row>
    <row r="67" spans="2:19">
      <c r="B67">
        <f>-LN(-'用于回归的形式 (2)'!B67)</f>
        <v>-9.8507049089277</v>
      </c>
      <c r="C67">
        <f>LN('用于回归的形式 (2)'!C67)</f>
        <v>6.23323356254536</v>
      </c>
      <c r="D67">
        <f>LN('用于回归的形式 (2)'!D67)</f>
        <v>9.69077996242687</v>
      </c>
      <c r="E67">
        <f>LN('用于回归的形式 (2)'!E67)</f>
        <v>8.66345569839449</v>
      </c>
      <c r="F67">
        <f t="shared" ref="F67:F81" si="17">S67-B67</f>
        <v>17.9117468818957</v>
      </c>
      <c r="G67">
        <f t="shared" si="10"/>
        <v>38.8532006452419</v>
      </c>
      <c r="H67">
        <f t="shared" si="10"/>
        <v>93.9112162801742</v>
      </c>
      <c r="I67">
        <f t="shared" si="10"/>
        <v>75.055464638044</v>
      </c>
      <c r="J67">
        <f t="shared" si="11"/>
        <v>60.4048949090412</v>
      </c>
      <c r="K67">
        <f t="shared" si="12"/>
        <v>54.0013428268574</v>
      </c>
      <c r="L67">
        <f t="shared" si="13"/>
        <v>83.9556428873742</v>
      </c>
      <c r="M67">
        <f t="shared" ref="M67:M81" si="18">F67*F67</f>
        <v>320.830676361101</v>
      </c>
      <c r="N67">
        <f t="shared" si="14"/>
        <v>111.64810182805</v>
      </c>
      <c r="O67">
        <f t="shared" si="15"/>
        <v>173.578797775137</v>
      </c>
      <c r="P67">
        <f t="shared" si="16"/>
        <v>155.177625592159</v>
      </c>
      <c r="S67">
        <f>LN('用于回归的形式 (2)'!S67)</f>
        <v>8.06104197296803</v>
      </c>
    </row>
    <row r="68" spans="2:19">
      <c r="B68">
        <f>-LN(-'用于回归的形式 (2)'!B68)</f>
        <v>-10.0267576367834</v>
      </c>
      <c r="C68">
        <f>LN('用于回归的形式 (2)'!C68)</f>
        <v>6.24300117292341</v>
      </c>
      <c r="D68">
        <f>LN('用于回归的形式 (2)'!D68)</f>
        <v>9.82168702573906</v>
      </c>
      <c r="E68">
        <f>LN('用于回归的形式 (2)'!E68)</f>
        <v>8.82441315024106</v>
      </c>
      <c r="F68">
        <f t="shared" si="17"/>
        <v>18.1710187357488</v>
      </c>
      <c r="G68">
        <f t="shared" si="10"/>
        <v>38.9750636451231</v>
      </c>
      <c r="H68">
        <f t="shared" si="10"/>
        <v>96.4655360315711</v>
      </c>
      <c r="I68">
        <f t="shared" si="10"/>
        <v>77.8702674461474</v>
      </c>
      <c r="J68">
        <f t="shared" si="11"/>
        <v>61.3168036217756</v>
      </c>
      <c r="K68">
        <f t="shared" si="12"/>
        <v>55.0908216473157</v>
      </c>
      <c r="L68">
        <f t="shared" si="13"/>
        <v>86.6706241474838</v>
      </c>
      <c r="M68">
        <f t="shared" si="18"/>
        <v>330.185921894933</v>
      </c>
      <c r="N68">
        <f t="shared" si="14"/>
        <v>113.441691280493</v>
      </c>
      <c r="O68">
        <f t="shared" si="15"/>
        <v>178.470058961365</v>
      </c>
      <c r="P68">
        <f t="shared" si="16"/>
        <v>160.348576685018</v>
      </c>
      <c r="S68">
        <f>LN('用于回归的形式 (2)'!S68)</f>
        <v>8.14426109896538</v>
      </c>
    </row>
    <row r="69" spans="2:19">
      <c r="B69">
        <f>-LN(-'用于回归的形式 (2)'!B69)</f>
        <v>-10.0687253768838</v>
      </c>
      <c r="C69">
        <f>LN('用于回归的形式 (2)'!C69)</f>
        <v>6.25066998156721</v>
      </c>
      <c r="D69">
        <f>LN('用于回归的形式 (2)'!D69)</f>
        <v>9.89238938453395</v>
      </c>
      <c r="E69">
        <f>LN('用于回归的形式 (2)'!E69)</f>
        <v>8.92667688086618</v>
      </c>
      <c r="F69">
        <f t="shared" si="17"/>
        <v>18.2321565206139</v>
      </c>
      <c r="G69">
        <f t="shared" si="10"/>
        <v>39.0708752184655</v>
      </c>
      <c r="H69">
        <f t="shared" si="10"/>
        <v>97.85936773524</v>
      </c>
      <c r="I69">
        <f t="shared" si="10"/>
        <v>79.6855601353908</v>
      </c>
      <c r="J69">
        <f t="shared" si="11"/>
        <v>61.8340613718805</v>
      </c>
      <c r="K69">
        <f t="shared" si="12"/>
        <v>55.7977112143803</v>
      </c>
      <c r="L69">
        <f t="shared" si="13"/>
        <v>88.3061636154453</v>
      </c>
      <c r="M69">
        <f t="shared" si="18"/>
        <v>332.411531392163</v>
      </c>
      <c r="N69">
        <f t="shared" si="14"/>
        <v>113.963193462636</v>
      </c>
      <c r="O69">
        <f t="shared" si="15"/>
        <v>180.359591621682</v>
      </c>
      <c r="P69">
        <f t="shared" si="16"/>
        <v>162.752570100898</v>
      </c>
      <c r="S69">
        <f>LN('用于回归的形式 (2)'!S69)</f>
        <v>8.16343114373005</v>
      </c>
    </row>
    <row r="70" spans="2:19">
      <c r="B70">
        <f>-LN(-'用于回归的形式 (2)'!B70)</f>
        <v>-10.1341973723336</v>
      </c>
      <c r="C70">
        <f>LN('用于回归的形式 (2)'!C70)</f>
        <v>6.26015491337816</v>
      </c>
      <c r="D70">
        <f>LN('用于回归的形式 (2)'!D70)</f>
        <v>9.93564255288292</v>
      </c>
      <c r="E70">
        <f>LN('用于回归的形式 (2)'!E70)</f>
        <v>9.00782018948903</v>
      </c>
      <c r="F70">
        <f t="shared" si="17"/>
        <v>18.363303075795</v>
      </c>
      <c r="G70">
        <f t="shared" si="10"/>
        <v>39.1895395394927</v>
      </c>
      <c r="H70">
        <f t="shared" si="10"/>
        <v>98.7169929386578</v>
      </c>
      <c r="I70">
        <f t="shared" si="10"/>
        <v>81.1408245661662</v>
      </c>
      <c r="J70">
        <f t="shared" si="11"/>
        <v>62.1986615449991</v>
      </c>
      <c r="K70">
        <f t="shared" si="12"/>
        <v>56.3903498180568</v>
      </c>
      <c r="L70">
        <f t="shared" si="13"/>
        <v>89.4984815834051</v>
      </c>
      <c r="M70">
        <f t="shared" si="18"/>
        <v>337.210899853501</v>
      </c>
      <c r="N70">
        <f t="shared" si="14"/>
        <v>114.95712197579</v>
      </c>
      <c r="O70">
        <f t="shared" si="15"/>
        <v>182.451215451354</v>
      </c>
      <c r="P70">
        <f t="shared" si="16"/>
        <v>165.413332191852</v>
      </c>
      <c r="S70">
        <f>LN('用于回归的形式 (2)'!S70)</f>
        <v>8.22910570346136</v>
      </c>
    </row>
    <row r="71" spans="2:19">
      <c r="B71">
        <f>-LN(-'用于回归的形式 (2)'!B71)</f>
        <v>-10.1639766425693</v>
      </c>
      <c r="C71">
        <f>LN('用于回归的形式 (2)'!C71)</f>
        <v>6.3263283480326</v>
      </c>
      <c r="D71">
        <f>LN('用于回归的形式 (2)'!D71)</f>
        <v>9.97938393238578</v>
      </c>
      <c r="E71">
        <f>LN('用于回归的形式 (2)'!E71)</f>
        <v>9.05739896068891</v>
      </c>
      <c r="F71">
        <f t="shared" si="17"/>
        <v>18.4379638716343</v>
      </c>
      <c r="G71">
        <f t="shared" si="10"/>
        <v>40.0224303671209</v>
      </c>
      <c r="H71">
        <f t="shared" si="10"/>
        <v>99.5881036699594</v>
      </c>
      <c r="I71">
        <f t="shared" si="10"/>
        <v>82.0364759330885</v>
      </c>
      <c r="J71">
        <f t="shared" si="11"/>
        <v>63.1328594673532</v>
      </c>
      <c r="K71">
        <f t="shared" si="12"/>
        <v>57.3000798044473</v>
      </c>
      <c r="L71">
        <f t="shared" si="13"/>
        <v>90.3872616575065</v>
      </c>
      <c r="M71">
        <f t="shared" si="18"/>
        <v>339.958511731691</v>
      </c>
      <c r="N71">
        <f t="shared" si="14"/>
        <v>116.644613521121</v>
      </c>
      <c r="O71">
        <f t="shared" si="15"/>
        <v>183.999520406497</v>
      </c>
      <c r="P71">
        <f t="shared" si="16"/>
        <v>166.99999480816</v>
      </c>
      <c r="S71">
        <f>LN('用于回归的形式 (2)'!S71)</f>
        <v>8.27398722906497</v>
      </c>
    </row>
    <row r="72" spans="2:19">
      <c r="B72">
        <f>-LN(-'用于回归的形式 (2)'!B72)</f>
        <v>-10.2622491622494</v>
      </c>
      <c r="C72">
        <f>LN('用于回归的形式 (2)'!C72)</f>
        <v>7.12779000289626</v>
      </c>
      <c r="D72">
        <f>LN('用于回归的形式 (2)'!D72)</f>
        <v>9.55785891758063</v>
      </c>
      <c r="E72">
        <f>LN('用于回归的形式 (2)'!E72)</f>
        <v>9.15635925810967</v>
      </c>
      <c r="F72">
        <f t="shared" si="17"/>
        <v>19.0585956593631</v>
      </c>
      <c r="G72">
        <f t="shared" si="10"/>
        <v>50.8053903253879</v>
      </c>
      <c r="H72">
        <f t="shared" si="10"/>
        <v>91.3526670883755</v>
      </c>
      <c r="I72">
        <f t="shared" si="10"/>
        <v>83.8389148635707</v>
      </c>
      <c r="J72">
        <f t="shared" si="11"/>
        <v>68.1264112418241</v>
      </c>
      <c r="K72">
        <f t="shared" si="12"/>
        <v>65.2646059828807</v>
      </c>
      <c r="L72">
        <f t="shared" si="13"/>
        <v>87.5151899876954</v>
      </c>
      <c r="M72">
        <f t="shared" si="18"/>
        <v>363.230068507093</v>
      </c>
      <c r="N72">
        <f t="shared" si="14"/>
        <v>135.84566761005</v>
      </c>
      <c r="O72">
        <f t="shared" si="15"/>
        <v>182.159368479407</v>
      </c>
      <c r="P72">
        <f t="shared" si="16"/>
        <v>174.507348812178</v>
      </c>
      <c r="S72">
        <f>LN('用于回归的形式 (2)'!S72)</f>
        <v>8.79634649711364</v>
      </c>
    </row>
    <row r="73" spans="2:19">
      <c r="B73">
        <f>-LN(-'用于回归的形式 (2)'!B73)</f>
        <v>-10.4146355232827</v>
      </c>
      <c r="C73">
        <f>LN('用于回归的形式 (2)'!C73)</f>
        <v>7.13715919326716</v>
      </c>
      <c r="D73">
        <f>LN('用于回归的形式 (2)'!D73)</f>
        <v>9.84984186639146</v>
      </c>
      <c r="E73">
        <f>LN('用于回归的形式 (2)'!E73)</f>
        <v>9.33200032710329</v>
      </c>
      <c r="F73">
        <f t="shared" si="17"/>
        <v>19.3380015722934</v>
      </c>
      <c r="G73">
        <f t="shared" si="10"/>
        <v>50.939041350038</v>
      </c>
      <c r="H73">
        <f t="shared" si="10"/>
        <v>97.0193847929179</v>
      </c>
      <c r="I73">
        <f t="shared" si="10"/>
        <v>87.0862301050559</v>
      </c>
      <c r="J73">
        <f t="shared" si="11"/>
        <v>70.2998894289435</v>
      </c>
      <c r="K73">
        <f t="shared" si="12"/>
        <v>66.6039719261574</v>
      </c>
      <c r="L73">
        <f t="shared" si="13"/>
        <v>91.9187275190807</v>
      </c>
      <c r="M73">
        <f t="shared" si="18"/>
        <v>373.958304810022</v>
      </c>
      <c r="N73">
        <f t="shared" si="14"/>
        <v>138.018395701109</v>
      </c>
      <c r="O73">
        <f t="shared" si="15"/>
        <v>190.476257499119</v>
      </c>
      <c r="P73">
        <f t="shared" si="16"/>
        <v>180.462236998166</v>
      </c>
      <c r="S73">
        <f>LN('用于回归的形式 (2)'!S73)</f>
        <v>8.92336604901064</v>
      </c>
    </row>
    <row r="74" spans="2:19">
      <c r="B74">
        <f>-LN(-'用于回归的形式 (2)'!B74)</f>
        <v>-10.4232831402774</v>
      </c>
      <c r="C74">
        <f>LN('用于回归的形式 (2)'!C74)</f>
        <v>7.14826712445744</v>
      </c>
      <c r="D74">
        <f>LN('用于回归的形式 (2)'!D74)</f>
        <v>10.1213349883866</v>
      </c>
      <c r="E74">
        <f>LN('用于回归的形式 (2)'!E74)</f>
        <v>9.52016057759997</v>
      </c>
      <c r="F74">
        <f t="shared" si="17"/>
        <v>19.4644756007004</v>
      </c>
      <c r="G74">
        <f t="shared" si="10"/>
        <v>51.097722882599</v>
      </c>
      <c r="H74">
        <f t="shared" si="10"/>
        <v>102.44142194714</v>
      </c>
      <c r="I74">
        <f t="shared" si="10"/>
        <v>90.6334574232886</v>
      </c>
      <c r="J74">
        <f t="shared" si="11"/>
        <v>72.350006153105</v>
      </c>
      <c r="K74">
        <f t="shared" si="12"/>
        <v>68.0526508764136</v>
      </c>
      <c r="L74">
        <f t="shared" si="13"/>
        <v>96.3567343491217</v>
      </c>
      <c r="M74">
        <f t="shared" si="18"/>
        <v>378.865810410262</v>
      </c>
      <c r="N74">
        <f t="shared" si="14"/>
        <v>139.137271031291</v>
      </c>
      <c r="O74">
        <f t="shared" si="15"/>
        <v>197.006477927967</v>
      </c>
      <c r="P74">
        <f t="shared" si="16"/>
        <v>185.304933277445</v>
      </c>
      <c r="S74">
        <f>LN('用于回归的形式 (2)'!S74)</f>
        <v>9.04119246042299</v>
      </c>
    </row>
    <row r="75" spans="2:19">
      <c r="B75">
        <f>-LN(-'用于回归的形式 (2)'!B75)</f>
        <v>-10.5085127351771</v>
      </c>
      <c r="C75">
        <f>LN('用于回归的形式 (2)'!C75)</f>
        <v>7.15165002716597</v>
      </c>
      <c r="D75">
        <f>LN('用于回归的形式 (2)'!D75)</f>
        <v>10.3712501125737</v>
      </c>
      <c r="E75">
        <f>LN('用于回归的形式 (2)'!E75)</f>
        <v>9.6108666373875</v>
      </c>
      <c r="F75">
        <f t="shared" si="17"/>
        <v>19.6434245711311</v>
      </c>
      <c r="G75">
        <f t="shared" si="10"/>
        <v>51.146098111063</v>
      </c>
      <c r="H75">
        <f t="shared" si="10"/>
        <v>107.562828897561</v>
      </c>
      <c r="I75">
        <f t="shared" si="10"/>
        <v>92.3687575216481</v>
      </c>
      <c r="J75">
        <f t="shared" si="11"/>
        <v>74.171551149333</v>
      </c>
      <c r="K75">
        <f t="shared" si="12"/>
        <v>68.7335546483608</v>
      </c>
      <c r="L75">
        <f t="shared" si="13"/>
        <v>99.6767016949363</v>
      </c>
      <c r="M75">
        <f t="shared" si="18"/>
        <v>385.864128881717</v>
      </c>
      <c r="N75">
        <f t="shared" si="14"/>
        <v>140.482897867762</v>
      </c>
      <c r="O75">
        <f t="shared" si="15"/>
        <v>203.726869294677</v>
      </c>
      <c r="P75">
        <f t="shared" si="16"/>
        <v>188.790333854722</v>
      </c>
      <c r="S75">
        <f>LN('用于回归的形式 (2)'!S75)</f>
        <v>9.134911835954</v>
      </c>
    </row>
    <row r="76" spans="2:19">
      <c r="B76">
        <f>-LN(-'用于回归的形式 (2)'!B76)</f>
        <v>-10.5429485782932</v>
      </c>
      <c r="C76">
        <f>LN('用于回归的形式 (2)'!C76)</f>
        <v>7.17428010705817</v>
      </c>
      <c r="D76">
        <f>LN('用于回归的形式 (2)'!D76)</f>
        <v>10.5885086441757</v>
      </c>
      <c r="E76">
        <f>LN('用于回归的形式 (2)'!E76)</f>
        <v>9.65925442115716</v>
      </c>
      <c r="F76">
        <f t="shared" si="17"/>
        <v>19.683381374854</v>
      </c>
      <c r="G76">
        <f t="shared" si="10"/>
        <v>51.4702950545305</v>
      </c>
      <c r="H76">
        <f t="shared" si="10"/>
        <v>112.116515307783</v>
      </c>
      <c r="I76">
        <f t="shared" si="10"/>
        <v>93.3011959726442</v>
      </c>
      <c r="J76">
        <f t="shared" si="11"/>
        <v>75.9649269293228</v>
      </c>
      <c r="K76">
        <f t="shared" si="12"/>
        <v>69.2981968427215</v>
      </c>
      <c r="L76">
        <f t="shared" si="13"/>
        <v>102.277098934714</v>
      </c>
      <c r="M76">
        <f t="shared" si="18"/>
        <v>387.435502347949</v>
      </c>
      <c r="N76">
        <f t="shared" si="14"/>
        <v>141.214091437254</v>
      </c>
      <c r="O76">
        <f t="shared" si="15"/>
        <v>208.417653834247</v>
      </c>
      <c r="P76">
        <f t="shared" si="16"/>
        <v>190.126788568381</v>
      </c>
      <c r="S76">
        <f>LN('用于回归的形式 (2)'!S76)</f>
        <v>9.14043279656083</v>
      </c>
    </row>
    <row r="77" spans="2:19">
      <c r="B77">
        <f>-LN(-'用于回归的形式 (2)'!B77)</f>
        <v>-10.6234063156017</v>
      </c>
      <c r="C77">
        <f>LN('用于回归的形式 (2)'!C77)</f>
        <v>7.19493222387847</v>
      </c>
      <c r="D77">
        <f>LN('用于回归的形式 (2)'!D77)</f>
        <v>10.7397580020472</v>
      </c>
      <c r="E77">
        <f>LN('用于回归的形式 (2)'!E77)</f>
        <v>9.69905534701247</v>
      </c>
      <c r="F77">
        <f t="shared" si="17"/>
        <v>19.7980884213686</v>
      </c>
      <c r="G77">
        <f t="shared" si="10"/>
        <v>51.7670497062048</v>
      </c>
      <c r="H77">
        <f t="shared" si="10"/>
        <v>115.342401942536</v>
      </c>
      <c r="I77">
        <f t="shared" si="10"/>
        <v>94.0716746244111</v>
      </c>
      <c r="J77">
        <f t="shared" si="11"/>
        <v>77.2718309255857</v>
      </c>
      <c r="K77">
        <f t="shared" si="12"/>
        <v>69.7840458574008</v>
      </c>
      <c r="L77">
        <f t="shared" si="13"/>
        <v>104.165507275375</v>
      </c>
      <c r="M77">
        <f t="shared" si="18"/>
        <v>391.964305140328</v>
      </c>
      <c r="N77">
        <f t="shared" si="14"/>
        <v>142.4459043541</v>
      </c>
      <c r="O77">
        <f t="shared" si="15"/>
        <v>212.62667854863</v>
      </c>
      <c r="P77">
        <f t="shared" si="16"/>
        <v>192.0227553639</v>
      </c>
      <c r="S77">
        <f>LN('用于回归的形式 (2)'!S77)</f>
        <v>9.17468210576689</v>
      </c>
    </row>
    <row r="78" spans="2:19">
      <c r="B78">
        <f>-LN(-'用于回归的形式 (2)'!B78)</f>
        <v>-10.7194381174644</v>
      </c>
      <c r="C78">
        <f>LN('用于回归的形式 (2)'!C78)</f>
        <v>7.2077043037769</v>
      </c>
      <c r="D78">
        <f>LN('用于回归的形式 (2)'!D78)</f>
        <v>10.893272773743</v>
      </c>
      <c r="E78">
        <f>LN('用于回归的形式 (2)'!E78)</f>
        <v>9.763437818753</v>
      </c>
      <c r="F78">
        <f t="shared" si="17"/>
        <v>20.0142997687086</v>
      </c>
      <c r="G78">
        <f t="shared" si="10"/>
        <v>51.951001330684</v>
      </c>
      <c r="H78">
        <f t="shared" si="10"/>
        <v>118.66339172317</v>
      </c>
      <c r="I78">
        <f t="shared" si="10"/>
        <v>95.3247180406563</v>
      </c>
      <c r="J78">
        <f t="shared" si="11"/>
        <v>78.5154890535229</v>
      </c>
      <c r="K78">
        <f t="shared" si="12"/>
        <v>70.3719727858841</v>
      </c>
      <c r="L78">
        <f t="shared" si="13"/>
        <v>106.355791369154</v>
      </c>
      <c r="M78">
        <f t="shared" si="18"/>
        <v>400.572195231731</v>
      </c>
      <c r="N78">
        <f t="shared" si="14"/>
        <v>144.257154580002</v>
      </c>
      <c r="O78">
        <f t="shared" si="15"/>
        <v>218.021226756004</v>
      </c>
      <c r="P78">
        <f t="shared" si="16"/>
        <v>195.408371277669</v>
      </c>
      <c r="S78">
        <f>LN('用于回归的形式 (2)'!S78)</f>
        <v>9.29486165124422</v>
      </c>
    </row>
    <row r="79" spans="2:19">
      <c r="B79">
        <f>-LN(-'用于回归的形式 (2)'!B79)</f>
        <v>-10.7809252970253</v>
      </c>
      <c r="C79">
        <f>LN('用于回归的形式 (2)'!C79)</f>
        <v>7.20336831801012</v>
      </c>
      <c r="D79">
        <f>LN('用于回归的形式 (2)'!D79)</f>
        <v>10.9722617112346</v>
      </c>
      <c r="E79">
        <f>LN('用于回归的形式 (2)'!E79)</f>
        <v>9.78098087804333</v>
      </c>
      <c r="F79">
        <f t="shared" si="17"/>
        <v>20.2388590717347</v>
      </c>
      <c r="G79">
        <f t="shared" si="10"/>
        <v>51.8885151249119</v>
      </c>
      <c r="H79">
        <f t="shared" si="10"/>
        <v>120.390527059824</v>
      </c>
      <c r="I79">
        <f t="shared" si="10"/>
        <v>95.6675869366493</v>
      </c>
      <c r="J79">
        <f t="shared" si="11"/>
        <v>79.0372423876224</v>
      </c>
      <c r="K79">
        <f t="shared" si="12"/>
        <v>70.4560077759601</v>
      </c>
      <c r="L79">
        <f t="shared" si="13"/>
        <v>107.319481986472</v>
      </c>
      <c r="M79">
        <f t="shared" si="18"/>
        <v>409.611416525537</v>
      </c>
      <c r="N79">
        <f t="shared" si="14"/>
        <v>145.787956230005</v>
      </c>
      <c r="O79">
        <f t="shared" si="15"/>
        <v>222.066058471866</v>
      </c>
      <c r="P79">
        <f t="shared" si="16"/>
        <v>197.955893574051</v>
      </c>
      <c r="S79">
        <f>LN('用于回归的形式 (2)'!S79)</f>
        <v>9.45793377470934</v>
      </c>
    </row>
    <row r="80" spans="2:19">
      <c r="B80">
        <f>-LN(-'用于回归的形式 (2)'!B80)</f>
        <v>-10.8576618842695</v>
      </c>
      <c r="C80">
        <f>LN('用于回归的形式 (2)'!C80)</f>
        <v>7.21160101277626</v>
      </c>
      <c r="D80">
        <f>LN('用于回归的形式 (2)'!D80)</f>
        <v>11.050962680755</v>
      </c>
      <c r="E80">
        <f>LN('用于回归的形式 (2)'!E80)</f>
        <v>9.82497450766502</v>
      </c>
      <c r="F80">
        <f t="shared" si="17"/>
        <v>20.3752744334123</v>
      </c>
      <c r="G80">
        <f t="shared" si="10"/>
        <v>52.0071891674755</v>
      </c>
      <c r="H80">
        <f t="shared" si="10"/>
        <v>122.12377617144</v>
      </c>
      <c r="I80">
        <f t="shared" si="10"/>
        <v>96.5301240762674</v>
      </c>
      <c r="J80">
        <f t="shared" si="11"/>
        <v>79.6951336606854</v>
      </c>
      <c r="K80">
        <f t="shared" si="12"/>
        <v>70.8537961099779</v>
      </c>
      <c r="L80">
        <f t="shared" si="13"/>
        <v>108.575426623575</v>
      </c>
      <c r="M80">
        <f t="shared" si="18"/>
        <v>415.151808236864</v>
      </c>
      <c r="N80">
        <f t="shared" si="14"/>
        <v>146.93834973959</v>
      </c>
      <c r="O80">
        <f t="shared" si="15"/>
        <v>225.166397373781</v>
      </c>
      <c r="P80">
        <f t="shared" si="16"/>
        <v>200.186551894954</v>
      </c>
      <c r="S80">
        <f>LN('用于回归的形式 (2)'!S80)</f>
        <v>9.51761254914282</v>
      </c>
    </row>
    <row r="81" spans="2:19">
      <c r="B81">
        <f>-LN(-'用于回归的形式 (2)'!B81)</f>
        <v>-10.9249800115219</v>
      </c>
      <c r="C81">
        <f>LN('用于回归的形式 (2)'!C81)</f>
        <v>7.22188695619454</v>
      </c>
      <c r="D81">
        <f>LN('用于回归的形式 (2)'!D81)</f>
        <v>11.1483508871663</v>
      </c>
      <c r="E81">
        <f>LN('用于回归的形式 (2)'!E81)</f>
        <v>9.85123590433738</v>
      </c>
      <c r="F81">
        <f t="shared" si="17"/>
        <v>20.4572285049706</v>
      </c>
      <c r="G81">
        <f t="shared" si="10"/>
        <v>52.1556512080528</v>
      </c>
      <c r="H81">
        <f t="shared" si="10"/>
        <v>124.285727503382</v>
      </c>
      <c r="I81">
        <f t="shared" si="10"/>
        <v>97.046848842906</v>
      </c>
      <c r="J81">
        <f t="shared" si="11"/>
        <v>80.5121298551061</v>
      </c>
      <c r="K81">
        <f t="shared" si="12"/>
        <v>71.1445120799294</v>
      </c>
      <c r="L81">
        <f t="shared" si="13"/>
        <v>109.825034533804</v>
      </c>
      <c r="M81">
        <f t="shared" si="18"/>
        <v>418.49819810458</v>
      </c>
      <c r="N81">
        <f t="shared" si="14"/>
        <v>147.739791699938</v>
      </c>
      <c r="O81">
        <f t="shared" si="15"/>
        <v>228.064361552352</v>
      </c>
      <c r="P81">
        <f t="shared" si="16"/>
        <v>201.5289839514</v>
      </c>
      <c r="S81">
        <f>LN('用于回归的形式 (2)'!S81)</f>
        <v>9.53224849344869</v>
      </c>
    </row>
  </sheetData>
  <pageMargins left="0.7" right="0.7" top="0.75" bottom="0.75" header="0.3" footer="0.3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2"/>
  <sheetViews>
    <sheetView topLeftCell="R1" workbookViewId="0">
      <selection activeCell="AB7" sqref="AB7"/>
    </sheetView>
  </sheetViews>
  <sheetFormatPr defaultColWidth="8.775" defaultRowHeight="14"/>
  <cols>
    <col min="2" max="2" width="15" customWidth="1"/>
    <col min="3" max="3" width="12.775" customWidth="1"/>
    <col min="4" max="4" width="15" customWidth="1"/>
    <col min="5" max="5" width="14" customWidth="1"/>
    <col min="6" max="6" width="15" customWidth="1"/>
    <col min="7" max="7" width="17.3333333333333" customWidth="1"/>
    <col min="8" max="8" width="21.775" customWidth="1"/>
    <col min="9" max="10" width="19.4416666666667" customWidth="1"/>
    <col min="11" max="11" width="18.4416666666667" customWidth="1"/>
    <col min="12" max="13" width="20.6666666666667" customWidth="1"/>
    <col min="14" max="14" width="18.4416666666667" customWidth="1"/>
    <col min="15" max="15" width="20.6666666666667" customWidth="1"/>
    <col min="16" max="17" width="19.4416666666667" customWidth="1"/>
    <col min="19" max="19" width="9" customWidth="1"/>
    <col min="21" max="21" width="12" customWidth="1"/>
    <col min="22" max="22" width="16.8833333333333" customWidth="1"/>
    <col min="24" max="24" width="15.3333333333333" style="1" customWidth="1"/>
    <col min="25" max="25" width="19.4416666666667" style="2" customWidth="1"/>
    <col min="26" max="26" width="13.5583333333333" style="2" customWidth="1"/>
  </cols>
  <sheetData>
    <row r="1" spans="2:22"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  <c r="O1" s="3" t="s">
        <v>25</v>
      </c>
      <c r="P1" s="3" t="s">
        <v>26</v>
      </c>
      <c r="Q1" t="s">
        <v>27</v>
      </c>
      <c r="R1" s="3" t="s">
        <v>28</v>
      </c>
      <c r="S1" s="3" t="s">
        <v>29</v>
      </c>
      <c r="U1" s="4" t="s">
        <v>30</v>
      </c>
      <c r="V1" t="s">
        <v>31</v>
      </c>
    </row>
    <row r="2" spans="1:26">
      <c r="A2" t="s">
        <v>32</v>
      </c>
      <c r="B2" s="3">
        <f>-CO2排放量!K15</f>
        <v>-170.602964113333</v>
      </c>
      <c r="C2" s="3">
        <f>就业人口!K15</f>
        <v>1104.33</v>
      </c>
      <c r="D2" s="3">
        <f>资本存量!K15</f>
        <v>28026.2556734583</v>
      </c>
      <c r="E2" s="3">
        <f>能源消耗量!L15</f>
        <v>10489.09</v>
      </c>
      <c r="F2" s="3">
        <f>S2-B2</f>
        <v>19366.2929641133</v>
      </c>
      <c r="G2" s="3">
        <f t="shared" ref="G2:I33" si="0">C2*C2</f>
        <v>1219544.7489</v>
      </c>
      <c r="H2" s="3">
        <f t="shared" si="0"/>
        <v>785471007.074054</v>
      </c>
      <c r="I2" s="3">
        <f t="shared" si="0"/>
        <v>110021009.0281</v>
      </c>
      <c r="J2" s="3">
        <f t="shared" ref="J2:J65" si="1">C2*D2</f>
        <v>30950234.9278702</v>
      </c>
      <c r="K2" s="3">
        <f t="shared" ref="K2:K65" si="2">C2*E2</f>
        <v>11583416.7597</v>
      </c>
      <c r="L2" s="3">
        <f t="shared" ref="L2:L65" si="3">D2*E2</f>
        <v>293969918.121915</v>
      </c>
      <c r="M2" s="3">
        <f>F2*F2</f>
        <v>375053303.171865</v>
      </c>
      <c r="N2" s="3">
        <f t="shared" ref="N2:N65" si="4">C2*F2</f>
        <v>21386778.3090593</v>
      </c>
      <c r="O2" s="3">
        <f t="shared" ref="O2:O65" si="5">D2*F2</f>
        <v>542764678.059337</v>
      </c>
      <c r="P2" s="3">
        <f t="shared" ref="P2:P65" si="6">E2*F2</f>
        <v>203134789.866951</v>
      </c>
      <c r="Q2">
        <v>1</v>
      </c>
      <c r="R2">
        <v>1</v>
      </c>
      <c r="S2">
        <f>GDP!K15</f>
        <v>19195.69</v>
      </c>
      <c r="U2">
        <f>1+U14</f>
        <v>0.9074809</v>
      </c>
      <c r="V2" s="5">
        <f>-($U$2+$U$4*B2*(-1)+$U$8*C2+$U$10*D2+$U$12*E2+$U$6*S2)/($U$14+$U$16*S2+$U$18*C2+$U$20*D2+$U$22*E2+$U$6*B2*(-1))</f>
        <v>-1.55697657214313</v>
      </c>
      <c r="X2" s="1">
        <f>-Y2/Z2*V2</f>
        <v>270.695415501971</v>
      </c>
      <c r="Y2" s="2">
        <v>28156.6065348</v>
      </c>
      <c r="Z2" s="2">
        <v>161.950200170333</v>
      </c>
    </row>
    <row r="3" spans="1:26">
      <c r="A3" t="s">
        <v>33</v>
      </c>
      <c r="B3" s="3">
        <f>-CO2排放量!K16</f>
        <v>-168.520721172</v>
      </c>
      <c r="C3" s="3">
        <f>就业人口!K16</f>
        <v>1115.5</v>
      </c>
      <c r="D3" s="3">
        <f>资本存量!K16</f>
        <v>30590.1151288063</v>
      </c>
      <c r="E3" s="3">
        <f>能源消耗量!L16</f>
        <v>10573</v>
      </c>
      <c r="F3" s="3">
        <f t="shared" ref="F3:F65" si="7">S3-B3</f>
        <v>20350.240721172</v>
      </c>
      <c r="G3" s="3">
        <f t="shared" si="0"/>
        <v>1244340.25</v>
      </c>
      <c r="H3" s="3">
        <f t="shared" si="0"/>
        <v>935755143.593624</v>
      </c>
      <c r="I3" s="3">
        <f t="shared" si="0"/>
        <v>111788329</v>
      </c>
      <c r="J3" s="3">
        <f t="shared" si="1"/>
        <v>34123273.4261834</v>
      </c>
      <c r="K3" s="3">
        <f t="shared" si="2"/>
        <v>11794181.5</v>
      </c>
      <c r="L3" s="3">
        <f t="shared" si="3"/>
        <v>323429287.256869</v>
      </c>
      <c r="M3" s="3">
        <f t="shared" ref="M3:M66" si="8">F3*F3</f>
        <v>414132297.409647</v>
      </c>
      <c r="N3" s="3">
        <f t="shared" si="4"/>
        <v>22700693.5244674</v>
      </c>
      <c r="O3" s="3">
        <f t="shared" si="5"/>
        <v>622516206.559574</v>
      </c>
      <c r="P3" s="3">
        <f t="shared" si="6"/>
        <v>215163095.144952</v>
      </c>
      <c r="Q3">
        <v>1</v>
      </c>
      <c r="R3">
        <v>2</v>
      </c>
      <c r="S3">
        <f>GDP!K16</f>
        <v>20181.72</v>
      </c>
      <c r="U3" s="4" t="s">
        <v>34</v>
      </c>
      <c r="V3">
        <f t="shared" ref="V3:V66" si="9">-($U$2+$U$4*B3*(-1)+$U$8*C3+$U$10*D3+$U$12*E3+$U$6*S3)/($U$14+$U$16*S3+$U$18*C3+$U$20*D3+$U$22*E3+$U$6*B3*(-1))</f>
        <v>-1.55486850184379</v>
      </c>
      <c r="X3" s="1">
        <f t="shared" ref="X3:X66" si="10">-Y3/Z3*V3</f>
        <v>270.328907119123</v>
      </c>
      <c r="Y3" s="2">
        <v>28156.6065348</v>
      </c>
      <c r="Z3" s="2">
        <v>161.950200170333</v>
      </c>
    </row>
    <row r="4" spans="1:26">
      <c r="A4" t="s">
        <v>35</v>
      </c>
      <c r="B4" s="3">
        <f>-CO2排放量!K17</f>
        <v>-181.78292098</v>
      </c>
      <c r="C4" s="3">
        <f>就业人口!K17</f>
        <v>1137.35</v>
      </c>
      <c r="D4" s="3">
        <f>资本存量!K17</f>
        <v>33301.2540764409</v>
      </c>
      <c r="E4" s="3">
        <f>能源消耗量!L17</f>
        <v>10890.39</v>
      </c>
      <c r="F4" s="3">
        <f t="shared" si="7"/>
        <v>21999.93292098</v>
      </c>
      <c r="G4" s="3">
        <f t="shared" si="0"/>
        <v>1293565.0225</v>
      </c>
      <c r="H4" s="3">
        <f t="shared" si="0"/>
        <v>1108973523.06367</v>
      </c>
      <c r="I4" s="3">
        <f t="shared" si="0"/>
        <v>118600594.3521</v>
      </c>
      <c r="J4" s="3">
        <f t="shared" si="1"/>
        <v>37875181.3238401</v>
      </c>
      <c r="K4" s="3">
        <f t="shared" si="2"/>
        <v>12386185.0665</v>
      </c>
      <c r="L4" s="3">
        <f t="shared" si="3"/>
        <v>362663644.381531</v>
      </c>
      <c r="M4" s="3">
        <f t="shared" si="8"/>
        <v>483997048.52762</v>
      </c>
      <c r="N4" s="3">
        <f t="shared" si="4"/>
        <v>25021623.7076766</v>
      </c>
      <c r="O4" s="3">
        <f t="shared" si="5"/>
        <v>732625355.866212</v>
      </c>
      <c r="P4" s="3">
        <f t="shared" si="6"/>
        <v>239587849.483311</v>
      </c>
      <c r="Q4">
        <v>1</v>
      </c>
      <c r="R4">
        <v>3</v>
      </c>
      <c r="S4">
        <f>GDP!K17</f>
        <v>21818.15</v>
      </c>
      <c r="U4">
        <f>U16</f>
        <v>-3.2e-5</v>
      </c>
      <c r="V4">
        <f t="shared" si="9"/>
        <v>-1.54471366491854</v>
      </c>
      <c r="X4" s="1">
        <f t="shared" si="10"/>
        <v>268.56339063672</v>
      </c>
      <c r="Y4" s="2">
        <v>28156.6065348</v>
      </c>
      <c r="Z4" s="2">
        <v>161.950200170333</v>
      </c>
    </row>
    <row r="5" spans="1:26">
      <c r="A5" t="s">
        <v>36</v>
      </c>
      <c r="B5" s="3">
        <f>-CO2排放量!K18</f>
        <v>-156.546572718</v>
      </c>
      <c r="C5" s="3">
        <f>就业人口!K18</f>
        <v>1365.63</v>
      </c>
      <c r="D5" s="3">
        <f>资本存量!K18</f>
        <v>36120.7636851026</v>
      </c>
      <c r="E5" s="3">
        <f>能源消耗量!L18</f>
        <v>10639.86</v>
      </c>
      <c r="F5" s="3">
        <f t="shared" si="7"/>
        <v>23724.241920718</v>
      </c>
      <c r="G5" s="3">
        <f t="shared" si="0"/>
        <v>1864945.2969</v>
      </c>
      <c r="H5" s="3">
        <f t="shared" si="0"/>
        <v>1304709569.19502</v>
      </c>
      <c r="I5" s="3">
        <f t="shared" si="0"/>
        <v>113206620.8196</v>
      </c>
      <c r="J5" s="3">
        <f t="shared" si="1"/>
        <v>49327598.5112866</v>
      </c>
      <c r="K5" s="3">
        <f t="shared" si="2"/>
        <v>14530112.0118</v>
      </c>
      <c r="L5" s="3">
        <f t="shared" si="3"/>
        <v>384319868.702576</v>
      </c>
      <c r="M5" s="3">
        <f t="shared" si="8"/>
        <v>562839654.712753</v>
      </c>
      <c r="N5" s="3">
        <f t="shared" si="4"/>
        <v>32398536.4941901</v>
      </c>
      <c r="O5" s="3">
        <f t="shared" si="5"/>
        <v>856937736.026459</v>
      </c>
      <c r="P5" s="3">
        <f t="shared" si="6"/>
        <v>252422612.642571</v>
      </c>
      <c r="Q5">
        <v>1</v>
      </c>
      <c r="R5">
        <v>4</v>
      </c>
      <c r="S5">
        <f>GDP!K18</f>
        <v>23567.695348</v>
      </c>
      <c r="U5" s="4" t="s">
        <v>37</v>
      </c>
      <c r="V5">
        <f t="shared" si="9"/>
        <v>-1.54848893949311</v>
      </c>
      <c r="X5" s="1">
        <f t="shared" si="10"/>
        <v>269.219758585911</v>
      </c>
      <c r="Y5" s="2">
        <v>28156.6065348</v>
      </c>
      <c r="Z5" s="2">
        <v>161.950200170333</v>
      </c>
    </row>
    <row r="6" spans="1:26">
      <c r="A6" t="s">
        <v>38</v>
      </c>
      <c r="B6" s="3">
        <f>-CO2排放量!K19</f>
        <v>-161.6468814</v>
      </c>
      <c r="C6" s="3">
        <f>就业人口!K19</f>
        <v>1361.51</v>
      </c>
      <c r="D6" s="3">
        <f>资本存量!K19</f>
        <v>39005.8703713327</v>
      </c>
      <c r="E6" s="3">
        <f>能源消耗量!L19</f>
        <v>10930.53</v>
      </c>
      <c r="F6" s="3">
        <f t="shared" si="7"/>
        <v>25285.0968814</v>
      </c>
      <c r="G6" s="3">
        <f t="shared" si="0"/>
        <v>1853709.4801</v>
      </c>
      <c r="H6" s="3">
        <f t="shared" si="0"/>
        <v>1521457923.42521</v>
      </c>
      <c r="I6" s="3">
        <f t="shared" si="0"/>
        <v>119476486.0809</v>
      </c>
      <c r="J6" s="3">
        <f t="shared" si="1"/>
        <v>53106882.5692732</v>
      </c>
      <c r="K6" s="3">
        <f t="shared" si="2"/>
        <v>14882025.9003</v>
      </c>
      <c r="L6" s="3">
        <f t="shared" si="3"/>
        <v>426354836.269964</v>
      </c>
      <c r="M6" s="3">
        <f t="shared" si="8"/>
        <v>639336124.301784</v>
      </c>
      <c r="N6" s="3">
        <f t="shared" si="4"/>
        <v>34425912.2549949</v>
      </c>
      <c r="O6" s="3">
        <f t="shared" si="5"/>
        <v>986267211.282478</v>
      </c>
      <c r="P6" s="3">
        <f t="shared" si="6"/>
        <v>276379510.015049</v>
      </c>
      <c r="Q6">
        <v>1</v>
      </c>
      <c r="R6">
        <v>5</v>
      </c>
      <c r="S6">
        <f>GDP!K19</f>
        <v>25123.45</v>
      </c>
      <c r="U6">
        <f>U4</f>
        <v>-3.2e-5</v>
      </c>
      <c r="V6">
        <f t="shared" si="9"/>
        <v>-1.54108207666398</v>
      </c>
      <c r="X6" s="1">
        <f t="shared" si="10"/>
        <v>267.932003942091</v>
      </c>
      <c r="Y6" s="2">
        <v>28156.6065348</v>
      </c>
      <c r="Z6" s="2">
        <v>161.950200170333</v>
      </c>
    </row>
    <row r="7" spans="1:26">
      <c r="A7" t="s">
        <v>39</v>
      </c>
      <c r="B7" s="3">
        <f>-CO2排放量!K20</f>
        <v>-158.225226386667</v>
      </c>
      <c r="C7" s="3">
        <f>就业人口!K20</f>
        <v>1365.24</v>
      </c>
      <c r="D7" s="3">
        <f>资本存量!K20</f>
        <v>42017.1868156848</v>
      </c>
      <c r="E7" s="3">
        <f>能源消耗量!L20</f>
        <v>11241.73</v>
      </c>
      <c r="F7" s="3">
        <f t="shared" si="7"/>
        <v>28336.8752263867</v>
      </c>
      <c r="G7" s="3">
        <f t="shared" si="0"/>
        <v>1863880.2576</v>
      </c>
      <c r="H7" s="3">
        <f t="shared" si="0"/>
        <v>1765443987.90416</v>
      </c>
      <c r="I7" s="3">
        <f t="shared" si="0"/>
        <v>126376493.3929</v>
      </c>
      <c r="J7" s="3">
        <f t="shared" si="1"/>
        <v>57363544.1282455</v>
      </c>
      <c r="K7" s="3">
        <f t="shared" si="2"/>
        <v>15347659.4652</v>
      </c>
      <c r="L7" s="3">
        <f t="shared" si="3"/>
        <v>472345869.541488</v>
      </c>
      <c r="M7" s="3">
        <f t="shared" si="8"/>
        <v>802978497.595807</v>
      </c>
      <c r="N7" s="3">
        <f t="shared" si="4"/>
        <v>38686635.5340721</v>
      </c>
      <c r="O7" s="3">
        <f t="shared" si="5"/>
        <v>1190635780.15984</v>
      </c>
      <c r="P7" s="3">
        <f t="shared" si="6"/>
        <v>318555500.338728</v>
      </c>
      <c r="Q7">
        <v>1</v>
      </c>
      <c r="R7">
        <v>6</v>
      </c>
      <c r="S7">
        <f>GDP!K20</f>
        <v>28178.65</v>
      </c>
      <c r="U7" s="4" t="s">
        <v>40</v>
      </c>
      <c r="V7">
        <f t="shared" si="9"/>
        <v>-1.54568962391909</v>
      </c>
      <c r="X7" s="1">
        <f t="shared" si="10"/>
        <v>268.733070535501</v>
      </c>
      <c r="Y7" s="2">
        <v>28156.6065348</v>
      </c>
      <c r="Z7" s="2">
        <v>161.950200170333</v>
      </c>
    </row>
    <row r="8" spans="1:26">
      <c r="A8" t="s">
        <v>41</v>
      </c>
      <c r="B8" s="3">
        <f>-CO2排放量!K21</f>
        <v>-156.578049833333</v>
      </c>
      <c r="C8" s="3">
        <f>就业人口!K21</f>
        <v>1372.65</v>
      </c>
      <c r="D8" s="3">
        <f>资本存量!K21</f>
        <v>45230.136881379</v>
      </c>
      <c r="E8" s="3">
        <f>能源消耗量!L21</f>
        <v>11381.85</v>
      </c>
      <c r="F8" s="3">
        <f t="shared" si="7"/>
        <v>30789.5680498333</v>
      </c>
      <c r="G8" s="3">
        <f t="shared" si="0"/>
        <v>1884168.0225</v>
      </c>
      <c r="H8" s="3">
        <f t="shared" si="0"/>
        <v>2045765282.30828</v>
      </c>
      <c r="I8" s="3">
        <f t="shared" si="0"/>
        <v>129546509.4225</v>
      </c>
      <c r="J8" s="3">
        <f t="shared" si="1"/>
        <v>62085147.390225</v>
      </c>
      <c r="K8" s="3">
        <f t="shared" si="2"/>
        <v>15623296.4025</v>
      </c>
      <c r="L8" s="3">
        <f t="shared" si="3"/>
        <v>514802633.463324</v>
      </c>
      <c r="M8" s="3">
        <f t="shared" si="8"/>
        <v>947997500.695318</v>
      </c>
      <c r="N8" s="3">
        <f t="shared" si="4"/>
        <v>42263300.5836037</v>
      </c>
      <c r="O8" s="3">
        <f t="shared" si="5"/>
        <v>1392616377.4125</v>
      </c>
      <c r="P8" s="3">
        <f t="shared" si="6"/>
        <v>350442245.107996</v>
      </c>
      <c r="Q8">
        <v>1</v>
      </c>
      <c r="R8">
        <v>7</v>
      </c>
      <c r="S8">
        <f>GDP!K21</f>
        <v>30632.99</v>
      </c>
      <c r="U8">
        <f>0.0002995</f>
        <v>0.0002995</v>
      </c>
      <c r="V8">
        <f t="shared" si="9"/>
        <v>-1.55351177512988</v>
      </c>
      <c r="X8" s="1">
        <f t="shared" si="10"/>
        <v>270.093027075638</v>
      </c>
      <c r="Y8" s="2">
        <v>28156.6065348</v>
      </c>
      <c r="Z8" s="2">
        <v>161.950200170333</v>
      </c>
    </row>
    <row r="9" spans="1:26">
      <c r="A9" t="s">
        <v>42</v>
      </c>
      <c r="B9" s="3">
        <f>-CO2排放量!K22</f>
        <v>-151.47447972</v>
      </c>
      <c r="C9" s="3">
        <f>就业人口!K22</f>
        <v>1375.66</v>
      </c>
      <c r="D9" s="3">
        <f>资本存量!K22</f>
        <v>48511.4669407667</v>
      </c>
      <c r="E9" s="3">
        <f>能源消耗量!L22</f>
        <v>11453.73</v>
      </c>
      <c r="F9" s="3">
        <f t="shared" si="7"/>
        <v>36163.29447972</v>
      </c>
      <c r="G9" s="3">
        <f t="shared" si="0"/>
        <v>1892440.4356</v>
      </c>
      <c r="H9" s="3">
        <f t="shared" si="0"/>
        <v>2353362424.7451</v>
      </c>
      <c r="I9" s="3">
        <f t="shared" si="0"/>
        <v>131187930.9129</v>
      </c>
      <c r="J9" s="3">
        <f t="shared" si="1"/>
        <v>66735284.6117351</v>
      </c>
      <c r="K9" s="3">
        <f t="shared" si="2"/>
        <v>15756438.2118</v>
      </c>
      <c r="L9" s="3">
        <f t="shared" si="3"/>
        <v>555637244.243467</v>
      </c>
      <c r="M9" s="3">
        <f t="shared" si="8"/>
        <v>1307783867.62695</v>
      </c>
      <c r="N9" s="3">
        <f t="shared" si="4"/>
        <v>49748397.6839716</v>
      </c>
      <c r="O9" s="3">
        <f t="shared" si="5"/>
        <v>1754334464.62215</v>
      </c>
      <c r="P9" s="3">
        <f t="shared" si="6"/>
        <v>414204610.881203</v>
      </c>
      <c r="Q9">
        <v>1</v>
      </c>
      <c r="R9">
        <v>8</v>
      </c>
      <c r="S9">
        <f>GDP!K22</f>
        <v>36011.82</v>
      </c>
      <c r="U9" s="4" t="s">
        <v>43</v>
      </c>
      <c r="V9">
        <f t="shared" si="9"/>
        <v>-1.59748719933651</v>
      </c>
      <c r="X9" s="1">
        <f t="shared" si="10"/>
        <v>277.738579321234</v>
      </c>
      <c r="Y9" s="2">
        <v>28156.6065348</v>
      </c>
      <c r="Z9" s="2">
        <v>161.950200170333</v>
      </c>
    </row>
    <row r="10" spans="1:26">
      <c r="A10" t="s">
        <v>44</v>
      </c>
      <c r="B10" s="3">
        <f>-CO2排放量!K23</f>
        <v>-159.497303606667</v>
      </c>
      <c r="C10" s="3">
        <f>就业人口!K23</f>
        <v>1376.2</v>
      </c>
      <c r="D10" s="3">
        <f>资本存量!K23</f>
        <v>51866.5838976531</v>
      </c>
      <c r="E10" s="3">
        <f>能源消耗量!L23</f>
        <v>11696.46</v>
      </c>
      <c r="F10" s="3">
        <f t="shared" si="7"/>
        <v>38314.8173036067</v>
      </c>
      <c r="G10" s="3">
        <f t="shared" si="0"/>
        <v>1893926.44</v>
      </c>
      <c r="H10" s="3">
        <f t="shared" si="0"/>
        <v>2690142525.21229</v>
      </c>
      <c r="I10" s="3">
        <f t="shared" si="0"/>
        <v>136807176.5316</v>
      </c>
      <c r="J10" s="3">
        <f t="shared" si="1"/>
        <v>71378792.7599502</v>
      </c>
      <c r="K10" s="3">
        <f t="shared" si="2"/>
        <v>16096668.252</v>
      </c>
      <c r="L10" s="3">
        <f t="shared" si="3"/>
        <v>606655423.895543</v>
      </c>
      <c r="M10" s="3">
        <f t="shared" si="8"/>
        <v>1468025225.00876</v>
      </c>
      <c r="N10" s="3">
        <f t="shared" si="4"/>
        <v>52728851.5732235</v>
      </c>
      <c r="O10" s="3">
        <f t="shared" si="5"/>
        <v>1987258686.20076</v>
      </c>
      <c r="P10" s="3">
        <f t="shared" si="6"/>
        <v>448147727.998943</v>
      </c>
      <c r="Q10">
        <v>1</v>
      </c>
      <c r="R10">
        <v>9</v>
      </c>
      <c r="S10">
        <f>GDP!K23</f>
        <v>38155.32</v>
      </c>
      <c r="U10" s="5">
        <v>7.5e-6</v>
      </c>
      <c r="V10">
        <f t="shared" si="9"/>
        <v>-1.59677825362212</v>
      </c>
      <c r="X10" s="1">
        <f t="shared" si="10"/>
        <v>277.615322261263</v>
      </c>
      <c r="Y10" s="2">
        <v>28156.6065348</v>
      </c>
      <c r="Z10" s="2">
        <v>161.950200170333</v>
      </c>
    </row>
    <row r="11" spans="1:26">
      <c r="A11" t="s">
        <v>45</v>
      </c>
      <c r="B11" s="3">
        <f>-CO2排放量!K24</f>
        <v>-154.626881773333</v>
      </c>
      <c r="C11" s="3">
        <f>就业人口!K24</f>
        <v>1374</v>
      </c>
      <c r="D11" s="3">
        <f>资本存量!K24</f>
        <v>55724.868058348</v>
      </c>
      <c r="E11" s="3">
        <f>能源消耗量!L24</f>
        <v>11099.59</v>
      </c>
      <c r="F11" s="3">
        <f t="shared" si="7"/>
        <v>38855.2068817733</v>
      </c>
      <c r="G11" s="3">
        <f t="shared" si="0"/>
        <v>1887876</v>
      </c>
      <c r="H11" s="3">
        <f t="shared" si="0"/>
        <v>3105260920.12029</v>
      </c>
      <c r="I11" s="3">
        <f t="shared" si="0"/>
        <v>123200898.1681</v>
      </c>
      <c r="J11" s="3">
        <f t="shared" si="1"/>
        <v>76565968.7121701</v>
      </c>
      <c r="K11" s="3">
        <f t="shared" si="2"/>
        <v>15250836.66</v>
      </c>
      <c r="L11" s="3">
        <f t="shared" si="3"/>
        <v>618523188.251759</v>
      </c>
      <c r="M11" s="3">
        <f t="shared" si="8"/>
        <v>1509727101.82541</v>
      </c>
      <c r="N11" s="3">
        <f t="shared" si="4"/>
        <v>53387054.2555566</v>
      </c>
      <c r="O11" s="3">
        <f t="shared" si="5"/>
        <v>2165201276.86663</v>
      </c>
      <c r="P11" s="3">
        <f t="shared" si="6"/>
        <v>431276865.752863</v>
      </c>
      <c r="Q11">
        <v>1</v>
      </c>
      <c r="R11">
        <v>10</v>
      </c>
      <c r="S11">
        <f>GDP!K24</f>
        <v>38700.58</v>
      </c>
      <c r="U11" s="4" t="s">
        <v>46</v>
      </c>
      <c r="V11">
        <f t="shared" si="9"/>
        <v>-1.6350267084834</v>
      </c>
      <c r="X11" s="1">
        <f t="shared" si="10"/>
        <v>284.26518557085</v>
      </c>
      <c r="Y11" s="2">
        <v>28156.6065348</v>
      </c>
      <c r="Z11" s="2">
        <v>161.950200170333</v>
      </c>
    </row>
    <row r="12" spans="1:26">
      <c r="A12" t="s">
        <v>47</v>
      </c>
      <c r="B12" s="3">
        <f>-CO2排放量!K25</f>
        <v>-613.10788852</v>
      </c>
      <c r="C12" s="3">
        <f>就业人口!K25</f>
        <v>4758.23</v>
      </c>
      <c r="D12" s="3">
        <f>资本存量!K25</f>
        <v>86020.7968373509</v>
      </c>
      <c r="E12" s="3">
        <f>能源消耗量!L25</f>
        <v>27588.97</v>
      </c>
      <c r="F12" s="3">
        <f t="shared" si="7"/>
        <v>49723.37788852</v>
      </c>
      <c r="G12" s="3">
        <f t="shared" si="0"/>
        <v>22640752.7329</v>
      </c>
      <c r="H12" s="3">
        <f t="shared" si="0"/>
        <v>7399577488.5328</v>
      </c>
      <c r="I12" s="3">
        <f t="shared" si="0"/>
        <v>761151265.6609</v>
      </c>
      <c r="J12" s="3">
        <f t="shared" si="1"/>
        <v>409306736.135388</v>
      </c>
      <c r="K12" s="3">
        <f t="shared" si="2"/>
        <v>131274664.7231</v>
      </c>
      <c r="L12" s="3">
        <f t="shared" si="3"/>
        <v>2373225183.32177</v>
      </c>
      <c r="M12" s="3">
        <f t="shared" si="8"/>
        <v>2472414308.64456</v>
      </c>
      <c r="N12" s="3">
        <f t="shared" si="4"/>
        <v>236595268.370493</v>
      </c>
      <c r="O12" s="3">
        <f t="shared" si="5"/>
        <v>4277244587.41521</v>
      </c>
      <c r="P12" s="3">
        <f t="shared" si="6"/>
        <v>1371816780.86504</v>
      </c>
      <c r="Q12">
        <v>2</v>
      </c>
      <c r="R12">
        <v>1</v>
      </c>
      <c r="S12">
        <f>GDP!K25</f>
        <v>49110.27</v>
      </c>
      <c r="U12">
        <v>0.0001875</v>
      </c>
      <c r="V12">
        <f t="shared" si="9"/>
        <v>-1.1798719495382</v>
      </c>
      <c r="X12" s="1">
        <f t="shared" si="10"/>
        <v>140.988079973792</v>
      </c>
      <c r="Y12" s="2">
        <v>75694.265</v>
      </c>
      <c r="Z12" s="2">
        <v>633.454544746</v>
      </c>
    </row>
    <row r="13" spans="1:26">
      <c r="A13" t="s">
        <v>48</v>
      </c>
      <c r="B13" s="3">
        <f>-CO2排放量!K26</f>
        <v>-619.988585013333</v>
      </c>
      <c r="C13" s="3">
        <f>就业人口!K26</f>
        <v>4759.53</v>
      </c>
      <c r="D13" s="3">
        <f>资本存量!K26</f>
        <v>109469.380340965</v>
      </c>
      <c r="E13" s="3">
        <f>能源消耗量!L26</f>
        <v>28849.84</v>
      </c>
      <c r="F13" s="3">
        <f t="shared" si="7"/>
        <v>54678.2085850133</v>
      </c>
      <c r="G13" s="3">
        <f t="shared" si="0"/>
        <v>22653125.8209</v>
      </c>
      <c r="H13" s="3">
        <f t="shared" si="0"/>
        <v>11983545232.2349</v>
      </c>
      <c r="I13" s="3">
        <f t="shared" si="0"/>
        <v>832313268.0256</v>
      </c>
      <c r="J13" s="3">
        <f t="shared" si="1"/>
        <v>521022799.814234</v>
      </c>
      <c r="K13" s="3">
        <f t="shared" si="2"/>
        <v>137311678.9752</v>
      </c>
      <c r="L13" s="3">
        <f t="shared" si="3"/>
        <v>3158174107.73599</v>
      </c>
      <c r="M13" s="3">
        <f t="shared" si="8"/>
        <v>2989706494.06623</v>
      </c>
      <c r="N13" s="3">
        <f t="shared" si="4"/>
        <v>260242574.106629</v>
      </c>
      <c r="O13" s="3">
        <f t="shared" si="5"/>
        <v>5985589611.95546</v>
      </c>
      <c r="P13" s="3">
        <f t="shared" si="6"/>
        <v>1577457569.16426</v>
      </c>
      <c r="Q13">
        <v>2</v>
      </c>
      <c r="R13">
        <v>2</v>
      </c>
      <c r="S13">
        <f>GDP!K26</f>
        <v>54058.22</v>
      </c>
      <c r="U13" s="4" t="s">
        <v>49</v>
      </c>
      <c r="V13">
        <f t="shared" si="9"/>
        <v>-1.17200978326147</v>
      </c>
      <c r="X13" s="1">
        <f t="shared" si="10"/>
        <v>140.048595203242</v>
      </c>
      <c r="Y13" s="2">
        <v>75694.265</v>
      </c>
      <c r="Z13" s="2">
        <v>633.454544746</v>
      </c>
    </row>
    <row r="14" spans="1:26">
      <c r="A14" t="s">
        <v>50</v>
      </c>
      <c r="B14" s="3">
        <f>-CO2排放量!K27</f>
        <v>-638.440952</v>
      </c>
      <c r="C14" s="3">
        <f>就业人口!K27</f>
        <v>4759.89</v>
      </c>
      <c r="D14" s="3">
        <f>资本存量!K27</f>
        <v>134942.839828233</v>
      </c>
      <c r="E14" s="3">
        <f>能源消耗量!L27</f>
        <v>29205.38</v>
      </c>
      <c r="F14" s="3">
        <f t="shared" si="7"/>
        <v>60391.810952</v>
      </c>
      <c r="G14" s="3">
        <f t="shared" si="0"/>
        <v>22656552.8121</v>
      </c>
      <c r="H14" s="3">
        <f t="shared" si="0"/>
        <v>18209570020.908</v>
      </c>
      <c r="I14" s="3">
        <f t="shared" si="0"/>
        <v>852954220.9444</v>
      </c>
      <c r="J14" s="3">
        <f t="shared" si="1"/>
        <v>642313073.870006</v>
      </c>
      <c r="K14" s="3">
        <f t="shared" si="2"/>
        <v>139014396.2082</v>
      </c>
      <c r="L14" s="3">
        <f t="shared" si="3"/>
        <v>3941056915.46267</v>
      </c>
      <c r="M14" s="3">
        <f t="shared" si="8"/>
        <v>3647170830.06211</v>
      </c>
      <c r="N14" s="3">
        <f t="shared" si="4"/>
        <v>287458377.032315</v>
      </c>
      <c r="O14" s="3">
        <f t="shared" si="5"/>
        <v>8149442472.23264</v>
      </c>
      <c r="P14" s="3">
        <f t="shared" si="6"/>
        <v>1763765787.74132</v>
      </c>
      <c r="Q14">
        <v>2</v>
      </c>
      <c r="R14">
        <v>3</v>
      </c>
      <c r="S14">
        <f>GDP!K27</f>
        <v>59753.37</v>
      </c>
      <c r="U14">
        <v>-0.0925191</v>
      </c>
      <c r="V14">
        <f t="shared" si="9"/>
        <v>-1.16981936160783</v>
      </c>
      <c r="X14" s="1">
        <f t="shared" si="10"/>
        <v>139.786852101882</v>
      </c>
      <c r="Y14" s="2">
        <v>75694.265</v>
      </c>
      <c r="Z14" s="2">
        <v>633.454544746</v>
      </c>
    </row>
    <row r="15" spans="1:26">
      <c r="A15" t="s">
        <v>51</v>
      </c>
      <c r="B15" s="3">
        <f>-CO2排放量!K28</f>
        <v>-621.071174273333</v>
      </c>
      <c r="C15" s="3">
        <f>就业人口!K28</f>
        <v>4760.83</v>
      </c>
      <c r="D15" s="3">
        <f>资本存量!K28</f>
        <v>163541.077204722</v>
      </c>
      <c r="E15" s="3">
        <f>能源消耗量!L28</f>
        <v>29863.03</v>
      </c>
      <c r="F15" s="3">
        <f t="shared" si="7"/>
        <v>65709.3911742733</v>
      </c>
      <c r="G15" s="3">
        <f t="shared" si="0"/>
        <v>22665502.2889</v>
      </c>
      <c r="H15" s="3">
        <f t="shared" si="0"/>
        <v>26745683933.2809</v>
      </c>
      <c r="I15" s="3">
        <f t="shared" si="0"/>
        <v>891800560.7809</v>
      </c>
      <c r="J15" s="3">
        <f t="shared" si="1"/>
        <v>778591266.588558</v>
      </c>
      <c r="K15" s="3">
        <f t="shared" si="2"/>
        <v>142172809.1149</v>
      </c>
      <c r="L15" s="3">
        <f t="shared" si="3"/>
        <v>4883832094.79694</v>
      </c>
      <c r="M15" s="3">
        <f t="shared" si="8"/>
        <v>4317724088.49367</v>
      </c>
      <c r="N15" s="3">
        <f t="shared" si="4"/>
        <v>312831240.784216</v>
      </c>
      <c r="O15" s="3">
        <f t="shared" si="5"/>
        <v>10746184615.1071</v>
      </c>
      <c r="P15" s="3">
        <f t="shared" si="6"/>
        <v>1962281519.91906</v>
      </c>
      <c r="Q15">
        <v>2</v>
      </c>
      <c r="R15">
        <v>4</v>
      </c>
      <c r="S15">
        <f>GDP!K28</f>
        <v>65088.32</v>
      </c>
      <c r="U15" s="4" t="s">
        <v>52</v>
      </c>
      <c r="V15">
        <f t="shared" si="9"/>
        <v>-1.16511117706775</v>
      </c>
      <c r="X15" s="1">
        <f t="shared" si="10"/>
        <v>139.224250457925</v>
      </c>
      <c r="Y15" s="2">
        <v>75694.265</v>
      </c>
      <c r="Z15" s="2">
        <v>633.454544746</v>
      </c>
    </row>
    <row r="16" spans="1:26">
      <c r="A16" t="s">
        <v>53</v>
      </c>
      <c r="B16" s="3">
        <f>-CO2排放量!K29</f>
        <v>-634.16123836</v>
      </c>
      <c r="C16" s="3">
        <f>就业人口!K29</f>
        <v>4758.5</v>
      </c>
      <c r="D16" s="3">
        <f>资本存量!K29</f>
        <v>193746.303793069</v>
      </c>
      <c r="E16" s="3">
        <f>能源消耗量!L29</f>
        <v>30374.14</v>
      </c>
      <c r="F16" s="3">
        <f t="shared" si="7"/>
        <v>70750.54123836</v>
      </c>
      <c r="G16" s="3">
        <f t="shared" si="0"/>
        <v>22643322.25</v>
      </c>
      <c r="H16" s="3">
        <f t="shared" si="0"/>
        <v>37537630233.4762</v>
      </c>
      <c r="I16" s="3">
        <f t="shared" si="0"/>
        <v>922588380.7396</v>
      </c>
      <c r="J16" s="3">
        <f t="shared" si="1"/>
        <v>921941786.599318</v>
      </c>
      <c r="K16" s="3">
        <f t="shared" si="2"/>
        <v>144535345.19</v>
      </c>
      <c r="L16" s="3">
        <f t="shared" si="3"/>
        <v>5884877355.89321</v>
      </c>
      <c r="M16" s="3">
        <f t="shared" si="8"/>
        <v>5005639085.52088</v>
      </c>
      <c r="N16" s="3">
        <f t="shared" si="4"/>
        <v>336666450.482736</v>
      </c>
      <c r="O16" s="3">
        <f t="shared" si="5"/>
        <v>13707655856.2913</v>
      </c>
      <c r="P16" s="3">
        <f t="shared" si="6"/>
        <v>2148986844.64972</v>
      </c>
      <c r="Q16">
        <v>2</v>
      </c>
      <c r="R16">
        <v>5</v>
      </c>
      <c r="S16">
        <f>GDP!K29</f>
        <v>70116.38</v>
      </c>
      <c r="U16">
        <v>-3.2e-5</v>
      </c>
      <c r="V16">
        <f t="shared" si="9"/>
        <v>-1.16085231501205</v>
      </c>
      <c r="X16" s="1">
        <f t="shared" si="10"/>
        <v>138.715340330567</v>
      </c>
      <c r="Y16" s="2">
        <v>75694.265</v>
      </c>
      <c r="Z16" s="2">
        <v>633.454544746</v>
      </c>
    </row>
    <row r="17" spans="1:26">
      <c r="A17" t="s">
        <v>54</v>
      </c>
      <c r="B17" s="3">
        <f>-CO2排放量!K30</f>
        <v>-653.116844646667</v>
      </c>
      <c r="C17" s="3">
        <f>就业人口!K30</f>
        <v>4756.22</v>
      </c>
      <c r="D17" s="3">
        <f>资本存量!K30</f>
        <v>224517.508628934</v>
      </c>
      <c r="E17" s="3">
        <f>能源消耗量!L30</f>
        <v>31209.71</v>
      </c>
      <c r="F17" s="3">
        <f t="shared" si="7"/>
        <v>78041.3968446467</v>
      </c>
      <c r="G17" s="3">
        <f t="shared" si="0"/>
        <v>22621628.6884</v>
      </c>
      <c r="H17" s="3">
        <f t="shared" si="0"/>
        <v>50408111680.9436</v>
      </c>
      <c r="I17" s="3">
        <f t="shared" si="0"/>
        <v>974045998.2841</v>
      </c>
      <c r="J17" s="3">
        <f t="shared" si="1"/>
        <v>1067854664.89111</v>
      </c>
      <c r="K17" s="3">
        <f t="shared" si="2"/>
        <v>148440246.8962</v>
      </c>
      <c r="L17" s="3">
        <f t="shared" si="3"/>
        <v>7007126334.23154</v>
      </c>
      <c r="M17" s="3">
        <f t="shared" si="8"/>
        <v>6090459621.46363</v>
      </c>
      <c r="N17" s="3">
        <f t="shared" si="4"/>
        <v>371182052.500445</v>
      </c>
      <c r="O17" s="3">
        <f t="shared" si="5"/>
        <v>17521659989.482</v>
      </c>
      <c r="P17" s="3">
        <f t="shared" si="6"/>
        <v>2435649363.51634</v>
      </c>
      <c r="Q17">
        <v>2</v>
      </c>
      <c r="R17">
        <v>6</v>
      </c>
      <c r="S17">
        <f>GDP!K30</f>
        <v>77388.28</v>
      </c>
      <c r="U17" s="4" t="s">
        <v>55</v>
      </c>
      <c r="V17">
        <f t="shared" si="9"/>
        <v>-1.15697734395944</v>
      </c>
      <c r="X17" s="1">
        <f t="shared" si="10"/>
        <v>138.252303024802</v>
      </c>
      <c r="Y17" s="2">
        <v>75694.265</v>
      </c>
      <c r="Z17" s="2">
        <v>633.454544746</v>
      </c>
    </row>
    <row r="18" spans="1:26">
      <c r="A18" t="s">
        <v>56</v>
      </c>
      <c r="B18" s="3">
        <f>-CO2排放量!K31</f>
        <v>-645.0487202</v>
      </c>
      <c r="C18" s="3">
        <f>就业人口!K31</f>
        <v>4757.8</v>
      </c>
      <c r="D18" s="3">
        <f>资本存量!K31</f>
        <v>255964.037800557</v>
      </c>
      <c r="E18" s="3">
        <f>能源消耗量!L31</f>
        <v>31602.09</v>
      </c>
      <c r="F18" s="3">
        <f t="shared" si="7"/>
        <v>86514.8087202</v>
      </c>
      <c r="G18" s="3">
        <f t="shared" si="0"/>
        <v>22636660.84</v>
      </c>
      <c r="H18" s="3">
        <f t="shared" si="0"/>
        <v>65517588647.1648</v>
      </c>
      <c r="I18" s="3">
        <f t="shared" si="0"/>
        <v>998692092.3681</v>
      </c>
      <c r="J18" s="3">
        <f t="shared" si="1"/>
        <v>1217825699.04749</v>
      </c>
      <c r="K18" s="3">
        <f t="shared" si="2"/>
        <v>150356423.802</v>
      </c>
      <c r="L18" s="3">
        <f t="shared" si="3"/>
        <v>8088998559.33659</v>
      </c>
      <c r="M18" s="3">
        <f t="shared" si="8"/>
        <v>7484812127.89279</v>
      </c>
      <c r="N18" s="3">
        <f t="shared" si="4"/>
        <v>411620156.928968</v>
      </c>
      <c r="O18" s="3">
        <f t="shared" si="5"/>
        <v>22144679769.5652</v>
      </c>
      <c r="P18" s="3">
        <f t="shared" si="6"/>
        <v>2734048771.50854</v>
      </c>
      <c r="Q18">
        <v>2</v>
      </c>
      <c r="R18">
        <v>7</v>
      </c>
      <c r="S18">
        <f>GDP!K31</f>
        <v>85869.76</v>
      </c>
      <c r="U18">
        <f>U8</f>
        <v>0.0002995</v>
      </c>
      <c r="V18">
        <f t="shared" si="9"/>
        <v>-1.15602838412265</v>
      </c>
      <c r="X18" s="1">
        <f t="shared" si="10"/>
        <v>138.138907647098</v>
      </c>
      <c r="Y18" s="2">
        <v>75694.265</v>
      </c>
      <c r="Z18" s="2">
        <v>633.454544746</v>
      </c>
    </row>
    <row r="19" spans="1:26">
      <c r="A19" t="s">
        <v>57</v>
      </c>
      <c r="B19" s="3">
        <f>-CO2排放量!K32</f>
        <v>-644.965467726667</v>
      </c>
      <c r="C19" s="3">
        <f>就业人口!K32</f>
        <v>4750.9</v>
      </c>
      <c r="D19" s="3">
        <f>资本存量!K32</f>
        <v>287306.711721703</v>
      </c>
      <c r="E19" s="3">
        <f>能源消耗量!L32</f>
        <v>31635.2</v>
      </c>
      <c r="F19" s="3">
        <f t="shared" si="7"/>
        <v>93852.5154677267</v>
      </c>
      <c r="G19" s="3">
        <f t="shared" si="0"/>
        <v>22571050.81</v>
      </c>
      <c r="H19" s="3">
        <f t="shared" si="0"/>
        <v>82545146600.3379</v>
      </c>
      <c r="I19" s="3">
        <f t="shared" si="0"/>
        <v>1000785879.04</v>
      </c>
      <c r="J19" s="3">
        <f t="shared" si="1"/>
        <v>1364965456.71864</v>
      </c>
      <c r="K19" s="3">
        <f t="shared" si="2"/>
        <v>150295671.68</v>
      </c>
      <c r="L19" s="3">
        <f t="shared" si="3"/>
        <v>9089005286.65842</v>
      </c>
      <c r="M19" s="3">
        <f t="shared" si="8"/>
        <v>8808294659.61987</v>
      </c>
      <c r="N19" s="3">
        <f t="shared" si="4"/>
        <v>445883915.735623</v>
      </c>
      <c r="O19" s="3">
        <f t="shared" si="5"/>
        <v>26964457605.8428</v>
      </c>
      <c r="P19" s="3">
        <f t="shared" si="6"/>
        <v>2969043097.32463</v>
      </c>
      <c r="Q19">
        <v>2</v>
      </c>
      <c r="R19">
        <v>8</v>
      </c>
      <c r="S19">
        <f>GDP!K32</f>
        <v>93207.55</v>
      </c>
      <c r="U19" s="4" t="s">
        <v>58</v>
      </c>
      <c r="V19">
        <f t="shared" si="9"/>
        <v>-1.15592121835654</v>
      </c>
      <c r="X19" s="1">
        <f t="shared" si="10"/>
        <v>138.126101939148</v>
      </c>
      <c r="Y19" s="2">
        <v>75694.265</v>
      </c>
      <c r="Z19" s="2">
        <v>633.454544746</v>
      </c>
    </row>
    <row r="20" spans="1:26">
      <c r="A20" t="s">
        <v>59</v>
      </c>
      <c r="B20" s="3">
        <f>-CO2排放量!K33</f>
        <v>-636.582048586667</v>
      </c>
      <c r="C20" s="3">
        <f>就业人口!K33</f>
        <v>4745.2</v>
      </c>
      <c r="D20" s="3">
        <f>资本存量!K33</f>
        <v>318492.16524547</v>
      </c>
      <c r="E20" s="3">
        <f>能源消耗量!L33</f>
        <v>32525.97</v>
      </c>
      <c r="F20" s="3">
        <f t="shared" si="7"/>
        <v>100268.102048587</v>
      </c>
      <c r="G20" s="3">
        <f t="shared" si="0"/>
        <v>22516923.04</v>
      </c>
      <c r="H20" s="3">
        <f t="shared" si="0"/>
        <v>101437259322.748</v>
      </c>
      <c r="I20" s="3">
        <f t="shared" si="0"/>
        <v>1057938724.4409</v>
      </c>
      <c r="J20" s="3">
        <f t="shared" si="1"/>
        <v>1511309022.5228</v>
      </c>
      <c r="K20" s="3">
        <f t="shared" si="2"/>
        <v>154342232.844</v>
      </c>
      <c r="L20" s="3">
        <f t="shared" si="3"/>
        <v>10359266612.0092</v>
      </c>
      <c r="M20" s="3">
        <f t="shared" si="8"/>
        <v>10053692288.4258</v>
      </c>
      <c r="N20" s="3">
        <f t="shared" si="4"/>
        <v>475792197.840954</v>
      </c>
      <c r="O20" s="3">
        <f t="shared" si="5"/>
        <v>31934604926.5081</v>
      </c>
      <c r="P20" s="3">
        <f t="shared" si="6"/>
        <v>3261317279.18927</v>
      </c>
      <c r="Q20">
        <v>2</v>
      </c>
      <c r="R20">
        <v>9</v>
      </c>
      <c r="S20">
        <f>GDP!K33</f>
        <v>99631.52</v>
      </c>
      <c r="U20" s="5">
        <f>U10</f>
        <v>7.5e-6</v>
      </c>
      <c r="V20">
        <f t="shared" si="9"/>
        <v>-1.15134546919433</v>
      </c>
      <c r="X20" s="1">
        <f t="shared" si="10"/>
        <v>137.579325580007</v>
      </c>
      <c r="Y20" s="2">
        <v>75694.265</v>
      </c>
      <c r="Z20" s="2">
        <v>633.454544746</v>
      </c>
    </row>
    <row r="21" spans="1:26">
      <c r="A21" t="s">
        <v>60</v>
      </c>
      <c r="B21" s="3">
        <f>-CO2排放量!K34</f>
        <v>-628.062528133333</v>
      </c>
      <c r="C21" s="3">
        <f>就业人口!K34</f>
        <v>4893</v>
      </c>
      <c r="D21" s="3">
        <f>资本存量!K34</f>
        <v>346860.115924502</v>
      </c>
      <c r="E21" s="3">
        <f>能源消耗量!L34</f>
        <v>32672.49</v>
      </c>
      <c r="F21" s="3">
        <f t="shared" si="7"/>
        <v>103347.042528133</v>
      </c>
      <c r="G21" s="3">
        <f t="shared" si="0"/>
        <v>23941449</v>
      </c>
      <c r="H21" s="3">
        <f t="shared" si="0"/>
        <v>120311940019.159</v>
      </c>
      <c r="I21" s="3">
        <f t="shared" si="0"/>
        <v>1067491602.8001</v>
      </c>
      <c r="J21" s="3">
        <f t="shared" si="1"/>
        <v>1697186547.21859</v>
      </c>
      <c r="K21" s="3">
        <f t="shared" si="2"/>
        <v>159866493.57</v>
      </c>
      <c r="L21" s="3">
        <f t="shared" si="3"/>
        <v>11332783668.9421</v>
      </c>
      <c r="M21" s="3">
        <f t="shared" si="8"/>
        <v>10680611199.3118</v>
      </c>
      <c r="N21" s="3">
        <f t="shared" si="4"/>
        <v>505677079.090156</v>
      </c>
      <c r="O21" s="3">
        <f t="shared" si="5"/>
        <v>35846967151.7627</v>
      </c>
      <c r="P21" s="3">
        <f t="shared" si="6"/>
        <v>3376605213.53001</v>
      </c>
      <c r="Q21">
        <v>2</v>
      </c>
      <c r="R21">
        <v>10</v>
      </c>
      <c r="S21">
        <f>GDP!K34</f>
        <v>102718.98</v>
      </c>
      <c r="U21" s="4" t="s">
        <v>61</v>
      </c>
      <c r="V21">
        <f t="shared" si="9"/>
        <v>-1.14720230717004</v>
      </c>
      <c r="X21" s="1">
        <f t="shared" si="10"/>
        <v>137.084240957431</v>
      </c>
      <c r="Y21" s="2">
        <v>75694.265</v>
      </c>
      <c r="Z21" s="2">
        <v>633.454544746</v>
      </c>
    </row>
    <row r="22" spans="1:26">
      <c r="A22" t="s">
        <v>62</v>
      </c>
      <c r="B22" s="3">
        <f>-CO2排放量!K35</f>
        <v>-398.622661</v>
      </c>
      <c r="C22" s="3">
        <f>就业人口!K35</f>
        <v>3385</v>
      </c>
      <c r="D22" s="3">
        <f>资本存量!K35</f>
        <v>48084.5686998072</v>
      </c>
      <c r="E22" s="3">
        <f>能源消耗量!L35</f>
        <v>17827.27</v>
      </c>
      <c r="F22" s="3">
        <f t="shared" si="7"/>
        <v>32717.472661</v>
      </c>
      <c r="G22" s="3">
        <f t="shared" si="0"/>
        <v>11458225</v>
      </c>
      <c r="H22" s="3">
        <f t="shared" si="0"/>
        <v>2312125747.04648</v>
      </c>
      <c r="I22" s="3">
        <f t="shared" si="0"/>
        <v>317811555.6529</v>
      </c>
      <c r="J22" s="3">
        <f t="shared" si="1"/>
        <v>162766265.048848</v>
      </c>
      <c r="K22" s="3">
        <f t="shared" si="2"/>
        <v>60345308.95</v>
      </c>
      <c r="L22" s="3">
        <f t="shared" si="3"/>
        <v>857216589.045013</v>
      </c>
      <c r="M22" s="3">
        <f t="shared" si="8"/>
        <v>1070433017.32328</v>
      </c>
      <c r="N22" s="3">
        <f t="shared" si="4"/>
        <v>110748644.957485</v>
      </c>
      <c r="O22" s="3">
        <f t="shared" si="5"/>
        <v>1573205561.85192</v>
      </c>
      <c r="P22" s="3">
        <f t="shared" si="6"/>
        <v>583263218.845266</v>
      </c>
      <c r="Q22">
        <v>3</v>
      </c>
      <c r="R22">
        <v>1</v>
      </c>
      <c r="S22">
        <f>GDP!K35</f>
        <v>32318.85</v>
      </c>
      <c r="U22">
        <f>U12</f>
        <v>0.0001875</v>
      </c>
      <c r="V22">
        <f t="shared" si="9"/>
        <v>-1.27951881779534</v>
      </c>
      <c r="X22" s="1">
        <f t="shared" si="10"/>
        <v>151.367601386277</v>
      </c>
      <c r="Y22" s="2">
        <v>47178.798</v>
      </c>
      <c r="Z22" s="2">
        <v>398.805023592308</v>
      </c>
    </row>
    <row r="23" spans="1:26">
      <c r="A23" t="s">
        <v>63</v>
      </c>
      <c r="B23" s="3">
        <f>-CO2排放量!K36</f>
        <v>-383.593455378</v>
      </c>
      <c r="C23" s="3">
        <f>就业人口!K36</f>
        <v>3407</v>
      </c>
      <c r="D23" s="3">
        <f>资本存量!K36</f>
        <v>60564.4101046258</v>
      </c>
      <c r="E23" s="3">
        <f>能源消耗量!L36</f>
        <v>18076.18</v>
      </c>
      <c r="F23" s="3">
        <f t="shared" si="7"/>
        <v>35048.923455378</v>
      </c>
      <c r="G23" s="3">
        <f t="shared" si="0"/>
        <v>11607649</v>
      </c>
      <c r="H23" s="3">
        <f t="shared" si="0"/>
        <v>3668047771.32129</v>
      </c>
      <c r="I23" s="3">
        <f t="shared" si="0"/>
        <v>326748283.3924</v>
      </c>
      <c r="J23" s="3">
        <f t="shared" si="1"/>
        <v>206342945.22646</v>
      </c>
      <c r="K23" s="3">
        <f t="shared" si="2"/>
        <v>61585545.26</v>
      </c>
      <c r="L23" s="3">
        <f t="shared" si="3"/>
        <v>1094773178.64503</v>
      </c>
      <c r="M23" s="3">
        <f t="shared" si="8"/>
        <v>1228427035.38095</v>
      </c>
      <c r="N23" s="3">
        <f t="shared" si="4"/>
        <v>119411682.212473</v>
      </c>
      <c r="O23" s="3">
        <f t="shared" si="5"/>
        <v>2122717373.87715</v>
      </c>
      <c r="P23" s="3">
        <f t="shared" si="6"/>
        <v>633550649.185635</v>
      </c>
      <c r="Q23">
        <v>3</v>
      </c>
      <c r="R23">
        <v>2</v>
      </c>
      <c r="S23">
        <f>GDP!K36</f>
        <v>34665.33</v>
      </c>
      <c r="V23">
        <f t="shared" si="9"/>
        <v>-1.27398546315102</v>
      </c>
      <c r="X23" s="1">
        <f t="shared" si="10"/>
        <v>150.713003260418</v>
      </c>
      <c r="Y23" s="2">
        <v>47178.798</v>
      </c>
      <c r="Z23" s="2">
        <v>398.805023592308</v>
      </c>
    </row>
    <row r="24" spans="1:26">
      <c r="A24" t="s">
        <v>64</v>
      </c>
      <c r="B24" s="3">
        <f>-CO2排放量!K37</f>
        <v>-387.560920826667</v>
      </c>
      <c r="C24" s="3">
        <f>就业人口!K37</f>
        <v>3436</v>
      </c>
      <c r="D24" s="3">
        <f>资本存量!K37</f>
        <v>74944.2967345817</v>
      </c>
      <c r="E24" s="3">
        <f>能源消耗量!L37</f>
        <v>18640</v>
      </c>
      <c r="F24" s="3">
        <f t="shared" si="7"/>
        <v>38144.1409208267</v>
      </c>
      <c r="G24" s="3">
        <f t="shared" si="0"/>
        <v>11806096</v>
      </c>
      <c r="H24" s="3">
        <f t="shared" si="0"/>
        <v>5616647613.04103</v>
      </c>
      <c r="I24" s="3">
        <f t="shared" si="0"/>
        <v>347449600</v>
      </c>
      <c r="J24" s="3">
        <f t="shared" si="1"/>
        <v>257508603.580023</v>
      </c>
      <c r="K24" s="3">
        <f t="shared" si="2"/>
        <v>64047040</v>
      </c>
      <c r="L24" s="3">
        <f t="shared" si="3"/>
        <v>1396961691.1326</v>
      </c>
      <c r="M24" s="3">
        <f t="shared" si="8"/>
        <v>1454975486.58788</v>
      </c>
      <c r="N24" s="3">
        <f t="shared" si="4"/>
        <v>131063268.20396</v>
      </c>
      <c r="O24" s="3">
        <f t="shared" si="5"/>
        <v>2858685815.85613</v>
      </c>
      <c r="P24" s="3">
        <f t="shared" si="6"/>
        <v>711006786.764209</v>
      </c>
      <c r="Q24">
        <v>3</v>
      </c>
      <c r="R24">
        <v>3</v>
      </c>
      <c r="S24">
        <f>GDP!K37</f>
        <v>37756.58</v>
      </c>
      <c r="V24">
        <f t="shared" si="9"/>
        <v>-1.2650387902156</v>
      </c>
      <c r="X24" s="1">
        <f t="shared" si="10"/>
        <v>149.654608179557</v>
      </c>
      <c r="Y24" s="2">
        <v>47178.798</v>
      </c>
      <c r="Z24" s="2">
        <v>398.805023592308</v>
      </c>
    </row>
    <row r="25" spans="1:26">
      <c r="A25" t="s">
        <v>65</v>
      </c>
      <c r="B25" s="3">
        <f>-CO2排放量!K38</f>
        <v>-380.794701654883</v>
      </c>
      <c r="C25" s="3">
        <f>就业人口!K38</f>
        <v>3459</v>
      </c>
      <c r="D25" s="3">
        <f>资本存量!K38</f>
        <v>91304.4042480618</v>
      </c>
      <c r="E25" s="3">
        <f>能源消耗量!L38</f>
        <v>18826</v>
      </c>
      <c r="F25" s="3">
        <f t="shared" si="7"/>
        <v>40553.8247016549</v>
      </c>
      <c r="G25" s="3">
        <f t="shared" si="0"/>
        <v>11964681</v>
      </c>
      <c r="H25" s="3">
        <f t="shared" si="0"/>
        <v>8336494235.09349</v>
      </c>
      <c r="I25" s="3">
        <f t="shared" si="0"/>
        <v>354418276</v>
      </c>
      <c r="J25" s="3">
        <f t="shared" si="1"/>
        <v>315821934.294046</v>
      </c>
      <c r="K25" s="3">
        <f t="shared" si="2"/>
        <v>65119134</v>
      </c>
      <c r="L25" s="3">
        <f t="shared" si="3"/>
        <v>1718896714.37401</v>
      </c>
      <c r="M25" s="3">
        <f t="shared" si="8"/>
        <v>1644612697.93255</v>
      </c>
      <c r="N25" s="3">
        <f t="shared" si="4"/>
        <v>140275679.643024</v>
      </c>
      <c r="O25" s="3">
        <f t="shared" si="5"/>
        <v>3702742804.36493</v>
      </c>
      <c r="P25" s="3">
        <f t="shared" si="6"/>
        <v>763466303.833355</v>
      </c>
      <c r="Q25">
        <v>3</v>
      </c>
      <c r="R25">
        <v>4</v>
      </c>
      <c r="S25">
        <f>GDP!K38</f>
        <v>40173.03</v>
      </c>
      <c r="V25">
        <f t="shared" si="9"/>
        <v>-1.25904138348661</v>
      </c>
      <c r="X25" s="1">
        <f t="shared" si="10"/>
        <v>148.94511250159</v>
      </c>
      <c r="Y25" s="2">
        <v>47178.798</v>
      </c>
      <c r="Z25" s="2">
        <v>398.805023592308</v>
      </c>
    </row>
    <row r="26" spans="1:26">
      <c r="A26" t="s">
        <v>66</v>
      </c>
      <c r="B26" s="3">
        <f>-CO2排放量!K39</f>
        <v>-381.50131998</v>
      </c>
      <c r="C26" s="3">
        <f>就业人口!K39</f>
        <v>3505</v>
      </c>
      <c r="D26" s="3">
        <f>资本存量!K39</f>
        <v>109203.901440248</v>
      </c>
      <c r="E26" s="3">
        <f>能源消耗量!L39</f>
        <v>19610</v>
      </c>
      <c r="F26" s="3">
        <f t="shared" si="7"/>
        <v>43267.99131998</v>
      </c>
      <c r="G26" s="3">
        <f t="shared" si="0"/>
        <v>12285025</v>
      </c>
      <c r="H26" s="3">
        <f t="shared" si="0"/>
        <v>11925492089.7714</v>
      </c>
      <c r="I26" s="3">
        <f t="shared" si="0"/>
        <v>384552100</v>
      </c>
      <c r="J26" s="3">
        <f t="shared" si="1"/>
        <v>382759674.548069</v>
      </c>
      <c r="K26" s="3">
        <f t="shared" si="2"/>
        <v>68733050</v>
      </c>
      <c r="L26" s="3">
        <f t="shared" si="3"/>
        <v>2141488507.24326</v>
      </c>
      <c r="M26" s="3">
        <f t="shared" si="8"/>
        <v>1872119072.86586</v>
      </c>
      <c r="N26" s="3">
        <f t="shared" si="4"/>
        <v>151654309.57653</v>
      </c>
      <c r="O26" s="3">
        <f t="shared" si="5"/>
        <v>4725033459.6246</v>
      </c>
      <c r="P26" s="3">
        <f t="shared" si="6"/>
        <v>848485309.784808</v>
      </c>
      <c r="Q26">
        <v>3</v>
      </c>
      <c r="R26">
        <v>5</v>
      </c>
      <c r="S26">
        <f>GDP!K39</f>
        <v>42886.49</v>
      </c>
      <c r="V26">
        <f t="shared" si="9"/>
        <v>-1.24578739221315</v>
      </c>
      <c r="X26" s="1">
        <f t="shared" si="10"/>
        <v>147.37715989319</v>
      </c>
      <c r="Y26" s="2">
        <v>47178.798</v>
      </c>
      <c r="Z26" s="2">
        <v>398.805023592308</v>
      </c>
    </row>
    <row r="27" spans="1:26">
      <c r="A27" t="s">
        <v>67</v>
      </c>
      <c r="B27" s="3">
        <f>-CO2排放量!K40</f>
        <v>-379.176537352796</v>
      </c>
      <c r="C27" s="3">
        <f>就业人口!K40</f>
        <v>3552</v>
      </c>
      <c r="D27" s="3">
        <f>资本存量!K40</f>
        <v>128291.326901984</v>
      </c>
      <c r="E27" s="3">
        <f>能源消耗量!L40</f>
        <v>20275.6</v>
      </c>
      <c r="F27" s="3">
        <f t="shared" si="7"/>
        <v>47630.5365373528</v>
      </c>
      <c r="G27" s="3">
        <f t="shared" si="0"/>
        <v>12616704</v>
      </c>
      <c r="H27" s="3">
        <f t="shared" si="0"/>
        <v>16458664558.2718</v>
      </c>
      <c r="I27" s="3">
        <f t="shared" si="0"/>
        <v>411099955.36</v>
      </c>
      <c r="J27" s="3">
        <f t="shared" si="1"/>
        <v>455690793.155848</v>
      </c>
      <c r="K27" s="3">
        <f t="shared" si="2"/>
        <v>72018931.2</v>
      </c>
      <c r="L27" s="3">
        <f t="shared" si="3"/>
        <v>2601183627.73387</v>
      </c>
      <c r="M27" s="3">
        <f t="shared" si="8"/>
        <v>2268668010.8361</v>
      </c>
      <c r="N27" s="3">
        <f t="shared" si="4"/>
        <v>169183665.780677</v>
      </c>
      <c r="O27" s="3">
        <f t="shared" si="5"/>
        <v>6110584733.43043</v>
      </c>
      <c r="P27" s="3">
        <f t="shared" si="6"/>
        <v>965737706.61675</v>
      </c>
      <c r="Q27">
        <v>3</v>
      </c>
      <c r="R27">
        <v>6</v>
      </c>
      <c r="S27">
        <f>GDP!K40</f>
        <v>47251.36</v>
      </c>
      <c r="V27">
        <f t="shared" si="9"/>
        <v>-1.23747397888131</v>
      </c>
      <c r="X27" s="1">
        <f t="shared" si="10"/>
        <v>146.393679683386</v>
      </c>
      <c r="Y27" s="2">
        <v>47178.798</v>
      </c>
      <c r="Z27" s="2">
        <v>398.805023592308</v>
      </c>
    </row>
    <row r="28" spans="1:26">
      <c r="A28" t="s">
        <v>68</v>
      </c>
      <c r="B28" s="3">
        <f>-CO2排放量!K41</f>
        <v>-401.44067626407</v>
      </c>
      <c r="C28" s="3">
        <f>就业人口!K41</f>
        <v>3613</v>
      </c>
      <c r="D28" s="3">
        <f>资本存量!K41</f>
        <v>147101.349519394</v>
      </c>
      <c r="E28" s="3">
        <f>能源消耗量!L41</f>
        <v>21030.01</v>
      </c>
      <c r="F28" s="3">
        <f t="shared" si="7"/>
        <v>52169.7006762641</v>
      </c>
      <c r="G28" s="3">
        <f t="shared" si="0"/>
        <v>13053769</v>
      </c>
      <c r="H28" s="3">
        <f t="shared" si="0"/>
        <v>21638807030.4268</v>
      </c>
      <c r="I28" s="3">
        <f t="shared" si="0"/>
        <v>442261320.6001</v>
      </c>
      <c r="J28" s="3">
        <f t="shared" si="1"/>
        <v>531477175.813569</v>
      </c>
      <c r="K28" s="3">
        <f t="shared" si="2"/>
        <v>75981426.13</v>
      </c>
      <c r="L28" s="3">
        <f t="shared" si="3"/>
        <v>3093542851.40634</v>
      </c>
      <c r="M28" s="3">
        <f t="shared" si="8"/>
        <v>2721677668.65099</v>
      </c>
      <c r="N28" s="3">
        <f t="shared" si="4"/>
        <v>188489128.543342</v>
      </c>
      <c r="O28" s="3">
        <f t="shared" si="5"/>
        <v>7674233373.50127</v>
      </c>
      <c r="P28" s="3">
        <f t="shared" si="6"/>
        <v>1097129326.91884</v>
      </c>
      <c r="Q28">
        <v>3</v>
      </c>
      <c r="R28">
        <v>7</v>
      </c>
      <c r="S28">
        <f>GDP!K41</f>
        <v>51768.26</v>
      </c>
      <c r="V28">
        <f t="shared" si="9"/>
        <v>-1.22901475010288</v>
      </c>
      <c r="X28" s="1">
        <f t="shared" si="10"/>
        <v>145.392949446393</v>
      </c>
      <c r="Y28" s="2">
        <v>47178.798</v>
      </c>
      <c r="Z28" s="2">
        <v>398.805023592308</v>
      </c>
    </row>
    <row r="29" spans="1:26">
      <c r="A29" t="s">
        <v>69</v>
      </c>
      <c r="B29" s="3">
        <f>-CO2排放量!K42</f>
        <v>-401.65882536</v>
      </c>
      <c r="C29" s="3">
        <f>就业人口!K42</f>
        <v>3691</v>
      </c>
      <c r="D29" s="3">
        <f>资本存量!K42</f>
        <v>166315.555255532</v>
      </c>
      <c r="E29" s="3">
        <f>能源消耗量!L42</f>
        <v>21674.56</v>
      </c>
      <c r="F29" s="3">
        <f t="shared" si="7"/>
        <v>58404.65882536</v>
      </c>
      <c r="G29" s="3">
        <f t="shared" si="0"/>
        <v>13623481</v>
      </c>
      <c r="H29" s="3">
        <f t="shared" si="0"/>
        <v>27660863919.9559</v>
      </c>
      <c r="I29" s="3">
        <f t="shared" si="0"/>
        <v>469786551.1936</v>
      </c>
      <c r="J29" s="3">
        <f t="shared" si="1"/>
        <v>613870714.448168</v>
      </c>
      <c r="K29" s="3">
        <f t="shared" si="2"/>
        <v>80000800.96</v>
      </c>
      <c r="L29" s="3">
        <f t="shared" si="3"/>
        <v>3604816481.31934</v>
      </c>
      <c r="M29" s="3">
        <f t="shared" si="8"/>
        <v>3411104172.5067</v>
      </c>
      <c r="N29" s="3">
        <f t="shared" si="4"/>
        <v>215571595.724404</v>
      </c>
      <c r="O29" s="3">
        <f t="shared" si="5"/>
        <v>9713603262.04965</v>
      </c>
      <c r="P29" s="3">
        <f t="shared" si="6"/>
        <v>1265895281.98979</v>
      </c>
      <c r="Q29">
        <v>3</v>
      </c>
      <c r="R29">
        <v>8</v>
      </c>
      <c r="S29">
        <f>GDP!K42</f>
        <v>58003</v>
      </c>
      <c r="V29">
        <f t="shared" si="9"/>
        <v>-1.22445011496088</v>
      </c>
      <c r="X29" s="1">
        <f t="shared" si="10"/>
        <v>144.852951235317</v>
      </c>
      <c r="Y29" s="2">
        <v>47178.798</v>
      </c>
      <c r="Z29" s="2">
        <v>398.805023592308</v>
      </c>
    </row>
    <row r="30" spans="1:26">
      <c r="A30" t="s">
        <v>70</v>
      </c>
      <c r="B30" s="3">
        <f>-CO2排放量!K43</f>
        <v>-419.14662584</v>
      </c>
      <c r="C30" s="3">
        <f>就业人口!K43</f>
        <v>3771</v>
      </c>
      <c r="D30" s="3">
        <f>资本存量!K43</f>
        <v>187052.126705291</v>
      </c>
      <c r="E30" s="3">
        <f>能源消耗量!L43</f>
        <v>22393</v>
      </c>
      <c r="F30" s="3">
        <f t="shared" si="7"/>
        <v>62770.88662584</v>
      </c>
      <c r="G30" s="3">
        <f t="shared" si="0"/>
        <v>14220441</v>
      </c>
      <c r="H30" s="3">
        <f t="shared" si="0"/>
        <v>34988498104.9722</v>
      </c>
      <c r="I30" s="3">
        <f t="shared" si="0"/>
        <v>501446449</v>
      </c>
      <c r="J30" s="3">
        <f t="shared" si="1"/>
        <v>705373569.805652</v>
      </c>
      <c r="K30" s="3">
        <f t="shared" si="2"/>
        <v>84444003</v>
      </c>
      <c r="L30" s="3">
        <f t="shared" si="3"/>
        <v>4188658273.31158</v>
      </c>
      <c r="M30" s="3">
        <f t="shared" si="8"/>
        <v>3940184207.79406</v>
      </c>
      <c r="N30" s="3">
        <f t="shared" si="4"/>
        <v>236709013.466043</v>
      </c>
      <c r="O30" s="3">
        <f t="shared" si="5"/>
        <v>11741427838.5401</v>
      </c>
      <c r="P30" s="3">
        <f t="shared" si="6"/>
        <v>1405628464.21244</v>
      </c>
      <c r="Q30">
        <v>3</v>
      </c>
      <c r="R30">
        <v>9</v>
      </c>
      <c r="S30">
        <f>GDP!K43</f>
        <v>62351.74</v>
      </c>
      <c r="V30">
        <f t="shared" si="9"/>
        <v>-1.21599179591779</v>
      </c>
      <c r="X30" s="1">
        <f t="shared" si="10"/>
        <v>143.852328620389</v>
      </c>
      <c r="Y30" s="2">
        <v>47178.798</v>
      </c>
      <c r="Z30" s="2">
        <v>398.805023592308</v>
      </c>
    </row>
    <row r="31" spans="1:26">
      <c r="A31" t="s">
        <v>71</v>
      </c>
      <c r="B31" s="3">
        <f>-CO2排放量!K44</f>
        <v>-454.554512266667</v>
      </c>
      <c r="C31" s="3">
        <f>就业人口!K44</f>
        <v>3857</v>
      </c>
      <c r="D31" s="3">
        <f>资本存量!K44</f>
        <v>207779.941992605</v>
      </c>
      <c r="E31" s="3">
        <f>能源消耗量!L44</f>
        <v>24660</v>
      </c>
      <c r="F31" s="3">
        <f t="shared" si="7"/>
        <v>65067.8945122667</v>
      </c>
      <c r="G31" s="3">
        <f t="shared" si="0"/>
        <v>14876449</v>
      </c>
      <c r="H31" s="3">
        <f t="shared" si="0"/>
        <v>43172504294.4501</v>
      </c>
      <c r="I31" s="3">
        <f t="shared" si="0"/>
        <v>608115600</v>
      </c>
      <c r="J31" s="3">
        <f t="shared" si="1"/>
        <v>801407236.265476</v>
      </c>
      <c r="K31" s="3">
        <f t="shared" si="2"/>
        <v>95113620</v>
      </c>
      <c r="L31" s="3">
        <f t="shared" si="3"/>
        <v>5123853369.53763</v>
      </c>
      <c r="M31" s="3">
        <f t="shared" si="8"/>
        <v>4233830896.25946</v>
      </c>
      <c r="N31" s="3">
        <f t="shared" si="4"/>
        <v>250966869.133813</v>
      </c>
      <c r="O31" s="3">
        <f t="shared" si="5"/>
        <v>13519803347.3397</v>
      </c>
      <c r="P31" s="3">
        <f t="shared" si="6"/>
        <v>1604574278.6725</v>
      </c>
      <c r="Q31">
        <v>3</v>
      </c>
      <c r="R31">
        <v>10</v>
      </c>
      <c r="S31">
        <f>GDP!K44</f>
        <v>64613.34</v>
      </c>
      <c r="V31">
        <f t="shared" si="9"/>
        <v>-1.19370162355569</v>
      </c>
      <c r="X31" s="1">
        <f t="shared" si="10"/>
        <v>141.215392079861</v>
      </c>
      <c r="Y31" s="2">
        <v>47178.798</v>
      </c>
      <c r="Z31" s="2">
        <v>398.805023592308</v>
      </c>
    </row>
    <row r="32" spans="1:26">
      <c r="A32" t="s">
        <v>72</v>
      </c>
      <c r="B32" s="3">
        <f>-CO2排放量!K45</f>
        <v>-315.387194186667</v>
      </c>
      <c r="C32" s="3">
        <f>就业人口!K45</f>
        <v>4120.9</v>
      </c>
      <c r="D32" s="3">
        <f>资本存量!K45</f>
        <v>39588.9178838985</v>
      </c>
      <c r="E32" s="3">
        <f>能源消耗量!L45</f>
        <v>10570.23</v>
      </c>
      <c r="F32" s="3">
        <f t="shared" si="7"/>
        <v>15616.0371941867</v>
      </c>
      <c r="G32" s="3">
        <f t="shared" si="0"/>
        <v>16981816.81</v>
      </c>
      <c r="H32" s="3">
        <f t="shared" si="0"/>
        <v>1567282419.21806</v>
      </c>
      <c r="I32" s="3">
        <f t="shared" si="0"/>
        <v>111729762.2529</v>
      </c>
      <c r="J32" s="3">
        <f t="shared" si="1"/>
        <v>163141971.707757</v>
      </c>
      <c r="K32" s="3">
        <f t="shared" si="2"/>
        <v>43558860.807</v>
      </c>
      <c r="L32" s="3">
        <f t="shared" si="3"/>
        <v>418463967.483921</v>
      </c>
      <c r="M32" s="3">
        <f t="shared" si="8"/>
        <v>243860617.650221</v>
      </c>
      <c r="N32" s="3">
        <f t="shared" si="4"/>
        <v>64352127.6735238</v>
      </c>
      <c r="O32" s="3">
        <f t="shared" si="5"/>
        <v>618222014.152561</v>
      </c>
      <c r="P32" s="3">
        <f t="shared" si="6"/>
        <v>165065104.831108</v>
      </c>
      <c r="Q32">
        <v>4</v>
      </c>
      <c r="R32">
        <v>1</v>
      </c>
      <c r="S32">
        <f>GDP!K45</f>
        <v>15300.65</v>
      </c>
      <c r="V32">
        <f t="shared" si="9"/>
        <v>-1.34237051475115</v>
      </c>
      <c r="X32" s="1">
        <f t="shared" si="10"/>
        <v>89.9258304083073</v>
      </c>
      <c r="Y32" s="2">
        <v>25582.7545316</v>
      </c>
      <c r="Z32" s="2">
        <v>381.887331075052</v>
      </c>
    </row>
    <row r="33" spans="1:26">
      <c r="A33" t="s">
        <v>73</v>
      </c>
      <c r="B33" s="3">
        <f>-CO2排放量!K46</f>
        <v>-355.906996733333</v>
      </c>
      <c r="C33" s="3">
        <f>就业人口!K46</f>
        <v>4206.8</v>
      </c>
      <c r="D33" s="3">
        <f>资本存量!K46</f>
        <v>50843.3327670443</v>
      </c>
      <c r="E33" s="3">
        <f>能源消耗量!L46</f>
        <v>11357.95</v>
      </c>
      <c r="F33" s="3">
        <f t="shared" si="7"/>
        <v>17567.9576117333</v>
      </c>
      <c r="G33" s="3">
        <f t="shared" si="0"/>
        <v>17697166.24</v>
      </c>
      <c r="H33" s="3">
        <f t="shared" si="0"/>
        <v>2585044486.8604</v>
      </c>
      <c r="I33" s="3">
        <f t="shared" si="0"/>
        <v>129003028.2025</v>
      </c>
      <c r="J33" s="3">
        <f t="shared" si="1"/>
        <v>213887732.284402</v>
      </c>
      <c r="K33" s="3">
        <f t="shared" si="2"/>
        <v>47780624.06</v>
      </c>
      <c r="L33" s="3">
        <f t="shared" si="3"/>
        <v>577476031.401451</v>
      </c>
      <c r="M33" s="3">
        <f t="shared" si="8"/>
        <v>308633134.647659</v>
      </c>
      <c r="N33" s="3">
        <f t="shared" si="4"/>
        <v>73904884.0810398</v>
      </c>
      <c r="O33" s="3">
        <f t="shared" si="5"/>
        <v>893213514.890686</v>
      </c>
      <c r="P33" s="3">
        <f t="shared" si="6"/>
        <v>199535984.156187</v>
      </c>
      <c r="Q33">
        <v>4</v>
      </c>
      <c r="R33">
        <v>2</v>
      </c>
      <c r="S33">
        <f>GDP!K46</f>
        <v>17212.050615</v>
      </c>
      <c r="V33">
        <f t="shared" si="9"/>
        <v>-1.3209053662353</v>
      </c>
      <c r="X33" s="1">
        <f t="shared" si="10"/>
        <v>88.4878732393187</v>
      </c>
      <c r="Y33" s="2">
        <v>25582.7545316</v>
      </c>
      <c r="Z33" s="2">
        <v>381.887331075052</v>
      </c>
    </row>
    <row r="34" spans="1:26">
      <c r="A34" t="s">
        <v>74</v>
      </c>
      <c r="B34" s="3">
        <f>-CO2排放量!K47</f>
        <v>-387.180040413333</v>
      </c>
      <c r="C34" s="3">
        <f>就业人口!K47</f>
        <v>4275.9</v>
      </c>
      <c r="D34" s="3">
        <f>资本存量!K47</f>
        <v>64213.494021408</v>
      </c>
      <c r="E34" s="3">
        <f>能源消耗量!L47</f>
        <v>12060.36</v>
      </c>
      <c r="F34" s="3">
        <f t="shared" si="7"/>
        <v>19616.5171404133</v>
      </c>
      <c r="G34" s="3">
        <f t="shared" ref="G34:I65" si="11">C34*C34</f>
        <v>18283320.81</v>
      </c>
      <c r="H34" s="3">
        <f t="shared" si="11"/>
        <v>4123372814.4374</v>
      </c>
      <c r="I34" s="3">
        <f t="shared" si="11"/>
        <v>145452283.3296</v>
      </c>
      <c r="J34" s="3">
        <f t="shared" si="1"/>
        <v>274570479.086139</v>
      </c>
      <c r="K34" s="3">
        <f t="shared" si="2"/>
        <v>51568893.324</v>
      </c>
      <c r="L34" s="3">
        <f t="shared" si="3"/>
        <v>774437854.756028</v>
      </c>
      <c r="M34" s="3">
        <f t="shared" si="8"/>
        <v>384807744.72013</v>
      </c>
      <c r="N34" s="3">
        <f t="shared" si="4"/>
        <v>83878265.6406934</v>
      </c>
      <c r="O34" s="3">
        <f t="shared" si="5"/>
        <v>1259645106.11678</v>
      </c>
      <c r="P34" s="3">
        <f t="shared" si="6"/>
        <v>236582258.659555</v>
      </c>
      <c r="Q34">
        <v>4</v>
      </c>
      <c r="R34">
        <v>3</v>
      </c>
      <c r="S34">
        <f>GDP!K47</f>
        <v>19229.3371</v>
      </c>
      <c r="V34">
        <f t="shared" si="9"/>
        <v>-1.30272729074774</v>
      </c>
      <c r="X34" s="1">
        <f t="shared" si="10"/>
        <v>87.2701181445214</v>
      </c>
      <c r="Y34" s="2">
        <v>25582.7545316</v>
      </c>
      <c r="Z34" s="2">
        <v>381.887331075052</v>
      </c>
    </row>
    <row r="35" spans="1:26">
      <c r="A35" t="s">
        <v>75</v>
      </c>
      <c r="B35" s="3">
        <f>-CO2排放量!K48</f>
        <v>-401.79524150701</v>
      </c>
      <c r="C35" s="3">
        <f>就业人口!K48</f>
        <v>4311</v>
      </c>
      <c r="D35" s="3">
        <f>资本存量!K48</f>
        <v>79305.2924953529</v>
      </c>
      <c r="E35" s="3">
        <f>能源消耗量!L48</f>
        <v>12011.02</v>
      </c>
      <c r="F35" s="3">
        <f t="shared" si="7"/>
        <v>21250.542842507</v>
      </c>
      <c r="G35" s="3">
        <f t="shared" si="11"/>
        <v>18584721</v>
      </c>
      <c r="H35" s="3">
        <f t="shared" si="11"/>
        <v>6289329417.77347</v>
      </c>
      <c r="I35" s="3">
        <f t="shared" si="11"/>
        <v>144264601.4404</v>
      </c>
      <c r="J35" s="3">
        <f t="shared" si="1"/>
        <v>341885115.947466</v>
      </c>
      <c r="K35" s="3">
        <f t="shared" si="2"/>
        <v>51779507.22</v>
      </c>
      <c r="L35" s="3">
        <f t="shared" si="3"/>
        <v>952537454.267533</v>
      </c>
      <c r="M35" s="3">
        <f t="shared" si="8"/>
        <v>451585571.101226</v>
      </c>
      <c r="N35" s="3">
        <f t="shared" si="4"/>
        <v>91611090.1940477</v>
      </c>
      <c r="O35" s="3">
        <f t="shared" si="5"/>
        <v>1685280515.81005</v>
      </c>
      <c r="P35" s="3">
        <f t="shared" si="6"/>
        <v>255240695.092209</v>
      </c>
      <c r="Q35">
        <v>4</v>
      </c>
      <c r="R35">
        <v>4</v>
      </c>
      <c r="S35">
        <f>GDP!K48</f>
        <v>20848.747601</v>
      </c>
      <c r="V35">
        <f t="shared" si="9"/>
        <v>-1.29713585053814</v>
      </c>
      <c r="X35" s="1">
        <f t="shared" si="10"/>
        <v>86.8955457753421</v>
      </c>
      <c r="Y35" s="2">
        <v>25582.7545316</v>
      </c>
      <c r="Z35" s="2">
        <v>381.887331075052</v>
      </c>
    </row>
    <row r="36" spans="1:26">
      <c r="A36" t="s">
        <v>76</v>
      </c>
      <c r="B36" s="3">
        <f>-CO2排放量!K49</f>
        <v>-392.848295426667</v>
      </c>
      <c r="C36" s="3">
        <f>就业人口!K49</f>
        <v>4342.1</v>
      </c>
      <c r="D36" s="3">
        <f>资本存量!K49</f>
        <v>95657.535915799</v>
      </c>
      <c r="E36" s="3">
        <f>能源消耗量!L49</f>
        <v>12301.23</v>
      </c>
      <c r="F36" s="3">
        <f t="shared" si="7"/>
        <v>22398.4782954267</v>
      </c>
      <c r="G36" s="3">
        <f t="shared" si="11"/>
        <v>18853832.41</v>
      </c>
      <c r="H36" s="3">
        <f t="shared" si="11"/>
        <v>9150364177.48237</v>
      </c>
      <c r="I36" s="3">
        <f t="shared" si="11"/>
        <v>151320259.5129</v>
      </c>
      <c r="J36" s="3">
        <f t="shared" si="1"/>
        <v>415354586.699991</v>
      </c>
      <c r="K36" s="3">
        <f t="shared" si="2"/>
        <v>53413170.783</v>
      </c>
      <c r="L36" s="3">
        <f t="shared" si="3"/>
        <v>1176705350.5335</v>
      </c>
      <c r="M36" s="3">
        <f t="shared" si="8"/>
        <v>501691829.950699</v>
      </c>
      <c r="N36" s="3">
        <f t="shared" si="4"/>
        <v>97256432.6065721</v>
      </c>
      <c r="O36" s="3">
        <f t="shared" si="5"/>
        <v>2142583242.00402</v>
      </c>
      <c r="P36" s="3">
        <f t="shared" si="6"/>
        <v>275528833.162051</v>
      </c>
      <c r="Q36">
        <v>4</v>
      </c>
      <c r="R36">
        <v>5</v>
      </c>
      <c r="S36">
        <f>GDP!K49</f>
        <v>22005.63</v>
      </c>
      <c r="V36">
        <f t="shared" si="9"/>
        <v>-1.28448687206986</v>
      </c>
      <c r="X36" s="1">
        <f t="shared" si="10"/>
        <v>86.0481866594519</v>
      </c>
      <c r="Y36" s="2">
        <v>25582.7545316</v>
      </c>
      <c r="Z36" s="2">
        <v>381.887331075052</v>
      </c>
    </row>
    <row r="37" spans="1:26">
      <c r="A37" t="s">
        <v>77</v>
      </c>
      <c r="B37" s="3">
        <f>-CO2排放量!K50</f>
        <v>-380.177314681809</v>
      </c>
      <c r="C37" s="3">
        <f>就业人口!K50</f>
        <v>4361.6</v>
      </c>
      <c r="D37" s="3">
        <f>资本存量!K50</f>
        <v>113232.523967882</v>
      </c>
      <c r="E37" s="3">
        <f>能源消耗量!L50</f>
        <v>12662.89</v>
      </c>
      <c r="F37" s="3">
        <f t="shared" si="7"/>
        <v>24787.7973146818</v>
      </c>
      <c r="G37" s="3">
        <f t="shared" si="11"/>
        <v>19023554.56</v>
      </c>
      <c r="H37" s="3">
        <f t="shared" si="11"/>
        <v>12821604484.137</v>
      </c>
      <c r="I37" s="3">
        <f t="shared" si="11"/>
        <v>160348783.1521</v>
      </c>
      <c r="J37" s="3">
        <f t="shared" si="1"/>
        <v>493874976.538315</v>
      </c>
      <c r="K37" s="3">
        <f t="shared" si="2"/>
        <v>55230461.024</v>
      </c>
      <c r="L37" s="3">
        <f t="shared" si="3"/>
        <v>1433850995.42766</v>
      </c>
      <c r="M37" s="3">
        <f t="shared" si="8"/>
        <v>614434895.713747</v>
      </c>
      <c r="N37" s="3">
        <f t="shared" si="4"/>
        <v>108114456.767716</v>
      </c>
      <c r="O37" s="3">
        <f t="shared" si="5"/>
        <v>2806784853.54572</v>
      </c>
      <c r="P37" s="3">
        <f t="shared" si="6"/>
        <v>313885150.738111</v>
      </c>
      <c r="Q37">
        <v>4</v>
      </c>
      <c r="R37">
        <v>6</v>
      </c>
      <c r="S37">
        <f>GDP!K50</f>
        <v>24407.62</v>
      </c>
      <c r="V37">
        <f t="shared" si="9"/>
        <v>-1.27441569833279</v>
      </c>
      <c r="X37" s="1">
        <f t="shared" si="10"/>
        <v>85.3735155075306</v>
      </c>
      <c r="Y37" s="2">
        <v>25582.7545316</v>
      </c>
      <c r="Z37" s="2">
        <v>381.887331075052</v>
      </c>
    </row>
    <row r="38" spans="1:26">
      <c r="A38" t="s">
        <v>78</v>
      </c>
      <c r="B38" s="3">
        <f>-CO2排放量!K51</f>
        <v>-397.016382828369</v>
      </c>
      <c r="C38" s="3">
        <f>就业人口!K51</f>
        <v>4377.9</v>
      </c>
      <c r="D38" s="3">
        <f>资本存量!K51</f>
        <v>131548.158066966</v>
      </c>
      <c r="E38" s="3">
        <f>能源消耗量!L51</f>
        <v>13018.71</v>
      </c>
      <c r="F38" s="3">
        <f t="shared" si="7"/>
        <v>27415.0163828284</v>
      </c>
      <c r="G38" s="3">
        <f t="shared" si="11"/>
        <v>19166008.41</v>
      </c>
      <c r="H38" s="3">
        <f t="shared" si="11"/>
        <v>17304917890.8114</v>
      </c>
      <c r="I38" s="3">
        <f t="shared" si="11"/>
        <v>169486810.0641</v>
      </c>
      <c r="J38" s="3">
        <f t="shared" si="1"/>
        <v>575904681.201369</v>
      </c>
      <c r="K38" s="3">
        <f t="shared" si="2"/>
        <v>56994610.509</v>
      </c>
      <c r="L38" s="3">
        <f t="shared" si="3"/>
        <v>1712587320.90799</v>
      </c>
      <c r="M38" s="3">
        <f t="shared" si="8"/>
        <v>751583123.270748</v>
      </c>
      <c r="N38" s="3">
        <f t="shared" si="4"/>
        <v>120020200.222384</v>
      </c>
      <c r="O38" s="3">
        <f t="shared" si="5"/>
        <v>3606394908.53676</v>
      </c>
      <c r="P38" s="3">
        <f t="shared" si="6"/>
        <v>356908147.933291</v>
      </c>
      <c r="Q38">
        <v>4</v>
      </c>
      <c r="R38">
        <v>7</v>
      </c>
      <c r="S38">
        <f>GDP!K51</f>
        <v>27018</v>
      </c>
      <c r="V38">
        <f t="shared" si="9"/>
        <v>-1.26532231484637</v>
      </c>
      <c r="X38" s="1">
        <f t="shared" si="10"/>
        <v>84.7643468374418</v>
      </c>
      <c r="Y38" s="2">
        <v>25582.7545316</v>
      </c>
      <c r="Z38" s="2">
        <v>381.887331075052</v>
      </c>
    </row>
    <row r="39" spans="1:26">
      <c r="A39" t="s">
        <v>79</v>
      </c>
      <c r="B39" s="3">
        <f>-CO2排放量!K52</f>
        <v>-392.428504106667</v>
      </c>
      <c r="C39" s="3">
        <f>就业人口!K52</f>
        <v>4385.3</v>
      </c>
      <c r="D39" s="3">
        <f>资本存量!K52</f>
        <v>151549.434147737</v>
      </c>
      <c r="E39" s="3">
        <f>能源消耗量!L52</f>
        <v>13294.71</v>
      </c>
      <c r="F39" s="3">
        <f t="shared" si="7"/>
        <v>34403.3285041067</v>
      </c>
      <c r="G39" s="3">
        <f t="shared" si="11"/>
        <v>19230856.09</v>
      </c>
      <c r="H39" s="3">
        <f t="shared" si="11"/>
        <v>22967230990.4992</v>
      </c>
      <c r="I39" s="3">
        <f t="shared" si="11"/>
        <v>176749313.9841</v>
      </c>
      <c r="J39" s="3">
        <f t="shared" si="1"/>
        <v>664589733.568071</v>
      </c>
      <c r="K39" s="3">
        <f t="shared" si="2"/>
        <v>58301291.763</v>
      </c>
      <c r="L39" s="3">
        <f t="shared" si="3"/>
        <v>2014805777.65826</v>
      </c>
      <c r="M39" s="3">
        <f t="shared" si="8"/>
        <v>1183589012.16148</v>
      </c>
      <c r="N39" s="3">
        <f t="shared" si="4"/>
        <v>150868916.489059</v>
      </c>
      <c r="O39" s="3">
        <f t="shared" si="5"/>
        <v>5213804967.59607</v>
      </c>
      <c r="P39" s="3">
        <f t="shared" si="6"/>
        <v>457382275.496832</v>
      </c>
      <c r="Q39">
        <v>4</v>
      </c>
      <c r="R39">
        <v>8</v>
      </c>
      <c r="S39">
        <f>GDP!K52</f>
        <v>34010.9</v>
      </c>
      <c r="V39">
        <f t="shared" si="9"/>
        <v>-1.26671285287076</v>
      </c>
      <c r="X39" s="1">
        <f t="shared" si="10"/>
        <v>84.8574994247365</v>
      </c>
      <c r="Y39" s="2">
        <v>25582.7545316</v>
      </c>
      <c r="Z39" s="2">
        <v>381.887331075052</v>
      </c>
    </row>
    <row r="40" spans="1:26">
      <c r="A40" t="s">
        <v>80</v>
      </c>
      <c r="B40" s="3">
        <f>-CO2排放量!K53</f>
        <v>-398.962470933333</v>
      </c>
      <c r="C40" s="3">
        <f>就业人口!K53</f>
        <v>4384</v>
      </c>
      <c r="D40" s="3">
        <f>资本存量!K53</f>
        <v>172632.538456233</v>
      </c>
      <c r="E40" s="3">
        <f>能源消耗量!L53</f>
        <v>13869.73</v>
      </c>
      <c r="F40" s="3">
        <f t="shared" si="7"/>
        <v>37512.9424709333</v>
      </c>
      <c r="G40" s="3">
        <f t="shared" si="11"/>
        <v>19219456</v>
      </c>
      <c r="H40" s="3">
        <f t="shared" si="11"/>
        <v>29801993333.8426</v>
      </c>
      <c r="I40" s="3">
        <f t="shared" si="11"/>
        <v>192369410.2729</v>
      </c>
      <c r="J40" s="3">
        <f t="shared" si="1"/>
        <v>756821048.592124</v>
      </c>
      <c r="K40" s="3">
        <f t="shared" si="2"/>
        <v>60804896.32</v>
      </c>
      <c r="L40" s="3">
        <f t="shared" si="3"/>
        <v>2394366697.60256</v>
      </c>
      <c r="M40" s="3">
        <f t="shared" si="8"/>
        <v>1407220852.82755</v>
      </c>
      <c r="N40" s="3">
        <f t="shared" si="4"/>
        <v>164456739.792572</v>
      </c>
      <c r="O40" s="3">
        <f t="shared" si="5"/>
        <v>6475954483.71984</v>
      </c>
      <c r="P40" s="3">
        <f t="shared" si="6"/>
        <v>520294383.577378</v>
      </c>
      <c r="Q40">
        <v>4</v>
      </c>
      <c r="R40">
        <v>9</v>
      </c>
      <c r="S40">
        <f>GDP!K53</f>
        <v>37113.98</v>
      </c>
      <c r="V40">
        <f t="shared" si="9"/>
        <v>-1.25540219349072</v>
      </c>
      <c r="X40" s="1">
        <f t="shared" si="10"/>
        <v>84.0997947328954</v>
      </c>
      <c r="Y40" s="2">
        <v>25582.7545316</v>
      </c>
      <c r="Z40" s="2">
        <v>381.887331075052</v>
      </c>
    </row>
    <row r="41" spans="1:26">
      <c r="A41" t="s">
        <v>81</v>
      </c>
      <c r="B41" s="3">
        <f>-CO2排放量!K54</f>
        <v>-397.170869933333</v>
      </c>
      <c r="C41" s="3">
        <f>就业人口!K54</f>
        <v>3243</v>
      </c>
      <c r="D41" s="3">
        <f>资本存量!K54</f>
        <v>193508.889100433</v>
      </c>
      <c r="E41" s="3">
        <f>能源消耗量!L54</f>
        <v>14697.9</v>
      </c>
      <c r="F41" s="3">
        <f t="shared" si="7"/>
        <v>39077.8008699333</v>
      </c>
      <c r="G41" s="3">
        <f t="shared" si="11"/>
        <v>10517049</v>
      </c>
      <c r="H41" s="3">
        <f t="shared" si="11"/>
        <v>37445690160.8838</v>
      </c>
      <c r="I41" s="3">
        <f t="shared" si="11"/>
        <v>216028264.41</v>
      </c>
      <c r="J41" s="3">
        <f t="shared" si="1"/>
        <v>627549327.352705</v>
      </c>
      <c r="K41" s="3">
        <f t="shared" si="2"/>
        <v>47665289.7</v>
      </c>
      <c r="L41" s="3">
        <f t="shared" si="3"/>
        <v>2844174301.10926</v>
      </c>
      <c r="M41" s="3">
        <f t="shared" si="8"/>
        <v>1527074520.83016</v>
      </c>
      <c r="N41" s="3">
        <f t="shared" si="4"/>
        <v>126729308.221194</v>
      </c>
      <c r="O41" s="3">
        <f t="shared" si="5"/>
        <v>7561901834.82874</v>
      </c>
      <c r="P41" s="3">
        <f t="shared" si="6"/>
        <v>574361609.406193</v>
      </c>
      <c r="Q41">
        <v>4</v>
      </c>
      <c r="R41">
        <v>10</v>
      </c>
      <c r="S41">
        <f>GDP!K54</f>
        <v>38680.63</v>
      </c>
      <c r="V41">
        <f t="shared" si="9"/>
        <v>-1.26072609623368</v>
      </c>
      <c r="X41" s="1">
        <f t="shared" si="10"/>
        <v>84.4564446815594</v>
      </c>
      <c r="Y41" s="2">
        <v>25582.7545316</v>
      </c>
      <c r="Z41" s="2">
        <v>381.887331075052</v>
      </c>
    </row>
    <row r="42" spans="1:26">
      <c r="A42" t="s">
        <v>82</v>
      </c>
      <c r="B42" s="3">
        <f>-CO2排放量!K55</f>
        <v>-740.516009926666</v>
      </c>
      <c r="C42" s="3">
        <f>就业人口!K55</f>
        <v>1388</v>
      </c>
      <c r="D42" s="3">
        <f>资本存量!K55</f>
        <v>33951.8533862881</v>
      </c>
      <c r="E42" s="3">
        <f>能源消耗量!L55</f>
        <v>16140.03</v>
      </c>
      <c r="F42" s="3">
        <f t="shared" si="7"/>
        <v>15100.3960099267</v>
      </c>
      <c r="G42" s="3">
        <f t="shared" si="11"/>
        <v>1926544</v>
      </c>
      <c r="H42" s="3">
        <f t="shared" si="11"/>
        <v>1152728348.364</v>
      </c>
      <c r="I42" s="3">
        <f t="shared" si="11"/>
        <v>260500568.4009</v>
      </c>
      <c r="J42" s="3">
        <f t="shared" si="1"/>
        <v>47125172.5001679</v>
      </c>
      <c r="K42" s="3">
        <f t="shared" si="2"/>
        <v>22402361.64</v>
      </c>
      <c r="L42" s="3">
        <f t="shared" si="3"/>
        <v>547983932.210291</v>
      </c>
      <c r="M42" s="3">
        <f t="shared" si="8"/>
        <v>228021959.656609</v>
      </c>
      <c r="N42" s="3">
        <f t="shared" si="4"/>
        <v>20959349.6617782</v>
      </c>
      <c r="O42" s="3">
        <f t="shared" si="5"/>
        <v>512686431.40392</v>
      </c>
      <c r="P42" s="3">
        <f t="shared" si="6"/>
        <v>243720844.612097</v>
      </c>
      <c r="Q42">
        <v>5</v>
      </c>
      <c r="R42">
        <v>1</v>
      </c>
      <c r="S42">
        <f>GDP!K55</f>
        <v>14359.88</v>
      </c>
      <c r="V42">
        <f t="shared" si="9"/>
        <v>-1.32042359968302</v>
      </c>
      <c r="X42" s="1">
        <f t="shared" si="10"/>
        <v>26.7768234892188</v>
      </c>
      <c r="Y42" s="2">
        <v>16769.6119388</v>
      </c>
      <c r="Z42" s="2">
        <v>826.946160004123</v>
      </c>
    </row>
    <row r="43" spans="1:26">
      <c r="A43" t="s">
        <v>83</v>
      </c>
      <c r="B43" s="3">
        <f>-CO2排放量!K56</f>
        <v>-788.691673836333</v>
      </c>
      <c r="C43" s="3">
        <f>就业人口!K56</f>
        <v>1379</v>
      </c>
      <c r="D43" s="3">
        <f>资本存量!K56</f>
        <v>42568.2154612044</v>
      </c>
      <c r="E43" s="3">
        <f>能源消耗量!L56</f>
        <v>16912.92</v>
      </c>
      <c r="F43" s="3">
        <f t="shared" si="7"/>
        <v>16669.2705178363</v>
      </c>
      <c r="G43" s="3">
        <f t="shared" si="11"/>
        <v>1901641</v>
      </c>
      <c r="H43" s="3">
        <f t="shared" si="11"/>
        <v>1812052967.55152</v>
      </c>
      <c r="I43" s="3">
        <f t="shared" si="11"/>
        <v>286046862.9264</v>
      </c>
      <c r="J43" s="3">
        <f t="shared" si="1"/>
        <v>58701569.1210009</v>
      </c>
      <c r="K43" s="3">
        <f t="shared" si="2"/>
        <v>23322916.68</v>
      </c>
      <c r="L43" s="3">
        <f t="shared" si="3"/>
        <v>719952822.638114</v>
      </c>
      <c r="M43" s="3">
        <f t="shared" si="8"/>
        <v>277864579.596808</v>
      </c>
      <c r="N43" s="3">
        <f t="shared" si="4"/>
        <v>22986924.0440963</v>
      </c>
      <c r="O43" s="3">
        <f t="shared" si="5"/>
        <v>709581098.98436</v>
      </c>
      <c r="P43" s="3">
        <f t="shared" si="6"/>
        <v>281926038.726524</v>
      </c>
      <c r="Q43">
        <v>5</v>
      </c>
      <c r="R43">
        <v>2</v>
      </c>
      <c r="S43">
        <f>GDP!K56</f>
        <v>15880.578844</v>
      </c>
      <c r="V43">
        <f t="shared" si="9"/>
        <v>-1.30510977785325</v>
      </c>
      <c r="X43" s="1">
        <f t="shared" si="10"/>
        <v>26.466275037813</v>
      </c>
      <c r="Y43" s="2">
        <v>16769.6119388</v>
      </c>
      <c r="Z43" s="2">
        <v>826.946160004123</v>
      </c>
    </row>
    <row r="44" spans="1:26">
      <c r="A44" t="s">
        <v>84</v>
      </c>
      <c r="B44" s="3">
        <f>-CO2排放量!K57</f>
        <v>-783.743085486666</v>
      </c>
      <c r="C44" s="3">
        <f>就业人口!K57</f>
        <v>1370</v>
      </c>
      <c r="D44" s="3">
        <f>资本存量!K57</f>
        <v>52699.0443769288</v>
      </c>
      <c r="E44" s="3">
        <f>能源消耗量!L57</f>
        <v>17544.17</v>
      </c>
      <c r="F44" s="3">
        <f t="shared" si="7"/>
        <v>17700.2460274867</v>
      </c>
      <c r="G44" s="3">
        <f t="shared" si="11"/>
        <v>1876900</v>
      </c>
      <c r="H44" s="3">
        <f t="shared" si="11"/>
        <v>2777189278.24151</v>
      </c>
      <c r="I44" s="3">
        <f t="shared" si="11"/>
        <v>307797900.9889</v>
      </c>
      <c r="J44" s="3">
        <f t="shared" si="1"/>
        <v>72197690.7963925</v>
      </c>
      <c r="K44" s="3">
        <f t="shared" si="2"/>
        <v>24035512.9</v>
      </c>
      <c r="L44" s="3">
        <f t="shared" si="3"/>
        <v>924560993.386383</v>
      </c>
      <c r="M44" s="3">
        <f t="shared" si="8"/>
        <v>313298709.433557</v>
      </c>
      <c r="N44" s="3">
        <f t="shared" si="4"/>
        <v>24249337.0576567</v>
      </c>
      <c r="O44" s="3">
        <f t="shared" si="5"/>
        <v>932786050.885078</v>
      </c>
      <c r="P44" s="3">
        <f t="shared" si="6"/>
        <v>310536125.348051</v>
      </c>
      <c r="Q44">
        <v>5</v>
      </c>
      <c r="R44">
        <v>3</v>
      </c>
      <c r="S44">
        <f>GDP!K57</f>
        <v>16916.502942</v>
      </c>
      <c r="V44">
        <f t="shared" si="9"/>
        <v>-1.29102230515148</v>
      </c>
      <c r="X44" s="1">
        <f t="shared" si="10"/>
        <v>26.1805956770117</v>
      </c>
      <c r="Y44" s="2">
        <v>16769.6119388</v>
      </c>
      <c r="Z44" s="2">
        <v>826.946160004123</v>
      </c>
    </row>
    <row r="45" spans="1:26">
      <c r="A45" t="s">
        <v>85</v>
      </c>
      <c r="B45" s="3">
        <f>-CO2排放量!K58</f>
        <v>-806.00009</v>
      </c>
      <c r="C45" s="3">
        <f>就业人口!K58</f>
        <v>1360</v>
      </c>
      <c r="D45" s="3">
        <f>资本存量!K58</f>
        <v>65231.7622167436</v>
      </c>
      <c r="E45" s="3">
        <f>能源消耗量!L58</f>
        <v>18167.46</v>
      </c>
      <c r="F45" s="3">
        <f t="shared" si="7"/>
        <v>18576.188909</v>
      </c>
      <c r="G45" s="3">
        <f t="shared" si="11"/>
        <v>1849600</v>
      </c>
      <c r="H45" s="3">
        <f t="shared" si="11"/>
        <v>4255182801.90178</v>
      </c>
      <c r="I45" s="3">
        <f t="shared" si="11"/>
        <v>330056602.8516</v>
      </c>
      <c r="J45" s="3">
        <f t="shared" si="1"/>
        <v>88715196.6147714</v>
      </c>
      <c r="K45" s="3">
        <f t="shared" si="2"/>
        <v>24707745.6</v>
      </c>
      <c r="L45" s="3">
        <f t="shared" si="3"/>
        <v>1185095430.8022</v>
      </c>
      <c r="M45" s="3">
        <f t="shared" si="8"/>
        <v>345074794.382855</v>
      </c>
      <c r="N45" s="3">
        <f t="shared" si="4"/>
        <v>25263616.91624</v>
      </c>
      <c r="O45" s="3">
        <f t="shared" si="5"/>
        <v>1211757537.8052</v>
      </c>
      <c r="P45" s="3">
        <f t="shared" si="6"/>
        <v>337482168.956701</v>
      </c>
      <c r="Q45">
        <v>5</v>
      </c>
      <c r="R45">
        <v>4</v>
      </c>
      <c r="S45">
        <f>GDP!K58</f>
        <v>17770.188819</v>
      </c>
      <c r="V45">
        <f t="shared" si="9"/>
        <v>-1.27654868621503</v>
      </c>
      <c r="X45" s="1">
        <f t="shared" si="10"/>
        <v>25.887085670371</v>
      </c>
      <c r="Y45" s="2">
        <v>16769.6119388</v>
      </c>
      <c r="Z45" s="2">
        <v>826.946160004123</v>
      </c>
    </row>
    <row r="46" spans="1:26">
      <c r="A46" t="s">
        <v>86</v>
      </c>
      <c r="B46" s="3">
        <f>-CO2排放量!K59</f>
        <v>-753.799941893334</v>
      </c>
      <c r="C46" s="3">
        <f>就业人口!K59</f>
        <v>1351</v>
      </c>
      <c r="D46" s="3">
        <f>资本存量!K59</f>
        <v>72671.7347439362</v>
      </c>
      <c r="E46" s="3">
        <f>能源消耗量!L59</f>
        <v>18783.71</v>
      </c>
      <c r="F46" s="3">
        <f t="shared" si="7"/>
        <v>18585.3087248933</v>
      </c>
      <c r="G46" s="3">
        <f t="shared" si="11"/>
        <v>1825201</v>
      </c>
      <c r="H46" s="3">
        <f t="shared" si="11"/>
        <v>5281181030.69303</v>
      </c>
      <c r="I46" s="3">
        <f t="shared" si="11"/>
        <v>352827761.3641</v>
      </c>
      <c r="J46" s="3">
        <f t="shared" si="1"/>
        <v>98179513.6390579</v>
      </c>
      <c r="K46" s="3">
        <f t="shared" si="2"/>
        <v>25376792.21</v>
      </c>
      <c r="L46" s="3">
        <f t="shared" si="3"/>
        <v>1365044790.62702</v>
      </c>
      <c r="M46" s="3">
        <f t="shared" si="8"/>
        <v>345413700.399596</v>
      </c>
      <c r="N46" s="3">
        <f t="shared" si="4"/>
        <v>25108752.0873309</v>
      </c>
      <c r="O46" s="3">
        <f t="shared" si="5"/>
        <v>1350626625.78961</v>
      </c>
      <c r="P46" s="3">
        <f t="shared" si="6"/>
        <v>349101049.348866</v>
      </c>
      <c r="Q46">
        <v>5</v>
      </c>
      <c r="R46">
        <v>5</v>
      </c>
      <c r="S46">
        <f>GDP!K59</f>
        <v>17831.508783</v>
      </c>
      <c r="V46">
        <f t="shared" si="9"/>
        <v>-1.26424553238118</v>
      </c>
      <c r="X46" s="1">
        <f t="shared" si="10"/>
        <v>25.6375904488006</v>
      </c>
      <c r="Y46" s="2">
        <v>16769.6119388</v>
      </c>
      <c r="Z46" s="2">
        <v>826.946160004123</v>
      </c>
    </row>
    <row r="47" spans="1:26">
      <c r="A47" t="s">
        <v>87</v>
      </c>
      <c r="B47" s="3">
        <f>-CO2排放量!K60</f>
        <v>-754.615166564893</v>
      </c>
      <c r="C47" s="3">
        <f>就业人口!K60</f>
        <v>1326</v>
      </c>
      <c r="D47" s="3">
        <f>资本存量!K60</f>
        <v>80775.2618085184</v>
      </c>
      <c r="E47" s="3">
        <f>能源消耗量!L60</f>
        <v>19309.66</v>
      </c>
      <c r="F47" s="3">
        <f t="shared" si="7"/>
        <v>18882.7151665649</v>
      </c>
      <c r="G47" s="3">
        <f t="shared" si="11"/>
        <v>1758276</v>
      </c>
      <c r="H47" s="3">
        <f t="shared" si="11"/>
        <v>6524642920.23469</v>
      </c>
      <c r="I47" s="3">
        <f t="shared" si="11"/>
        <v>372862969.3156</v>
      </c>
      <c r="J47" s="3">
        <f t="shared" si="1"/>
        <v>107107997.158095</v>
      </c>
      <c r="K47" s="3">
        <f t="shared" si="2"/>
        <v>25604609.16</v>
      </c>
      <c r="L47" s="3">
        <f t="shared" si="3"/>
        <v>1559742841.93348</v>
      </c>
      <c r="M47" s="3">
        <f t="shared" si="8"/>
        <v>356556932.06162</v>
      </c>
      <c r="N47" s="3">
        <f t="shared" si="4"/>
        <v>25038480.310865</v>
      </c>
      <c r="O47" s="3">
        <f t="shared" si="5"/>
        <v>1525256261.23496</v>
      </c>
      <c r="P47" s="3">
        <f t="shared" si="6"/>
        <v>364618809.743211</v>
      </c>
      <c r="Q47">
        <v>5</v>
      </c>
      <c r="R47">
        <v>6</v>
      </c>
      <c r="S47">
        <f>GDP!K60</f>
        <v>18128.1</v>
      </c>
      <c r="V47">
        <f t="shared" si="9"/>
        <v>-1.25466373800222</v>
      </c>
      <c r="X47" s="1">
        <f t="shared" si="10"/>
        <v>25.4432815793915</v>
      </c>
      <c r="Y47" s="2">
        <v>16769.6119388</v>
      </c>
      <c r="Z47" s="2">
        <v>826.946160004123</v>
      </c>
    </row>
    <row r="48" spans="1:26">
      <c r="A48" t="s">
        <v>88</v>
      </c>
      <c r="B48" s="3">
        <f>-CO2排放量!K61</f>
        <v>-765.072943113333</v>
      </c>
      <c r="C48" s="3">
        <f>就业人口!K61</f>
        <v>1317</v>
      </c>
      <c r="D48" s="3">
        <f>资本存量!K61</f>
        <v>87033.9974749006</v>
      </c>
      <c r="E48" s="3">
        <f>能源消耗量!L61</f>
        <v>19763.44</v>
      </c>
      <c r="F48" s="3">
        <f t="shared" si="7"/>
        <v>16861.2829431133</v>
      </c>
      <c r="G48" s="3">
        <f t="shared" si="11"/>
        <v>1734489</v>
      </c>
      <c r="H48" s="3">
        <f t="shared" si="11"/>
        <v>7574916716.46101</v>
      </c>
      <c r="I48" s="3">
        <f t="shared" si="11"/>
        <v>390593560.6336</v>
      </c>
      <c r="J48" s="3">
        <f t="shared" si="1"/>
        <v>114623774.674444</v>
      </c>
      <c r="K48" s="3">
        <f t="shared" si="2"/>
        <v>26028450.48</v>
      </c>
      <c r="L48" s="3">
        <f t="shared" si="3"/>
        <v>1720091187.05535</v>
      </c>
      <c r="M48" s="3">
        <f t="shared" si="8"/>
        <v>284302862.487725</v>
      </c>
      <c r="N48" s="3">
        <f t="shared" si="4"/>
        <v>22206309.6360803</v>
      </c>
      <c r="O48" s="3">
        <f t="shared" si="5"/>
        <v>1467504857.09451</v>
      </c>
      <c r="P48" s="3">
        <f t="shared" si="6"/>
        <v>333236953.769244</v>
      </c>
      <c r="Q48">
        <v>5</v>
      </c>
      <c r="R48">
        <v>7</v>
      </c>
      <c r="S48">
        <f>GDP!K61</f>
        <v>16096.21</v>
      </c>
      <c r="V48">
        <f t="shared" si="9"/>
        <v>-1.24267360341314</v>
      </c>
      <c r="X48" s="1">
        <f t="shared" si="10"/>
        <v>25.2001340640178</v>
      </c>
      <c r="Y48" s="2">
        <v>16769.6119388</v>
      </c>
      <c r="Z48" s="2">
        <v>826.946160004123</v>
      </c>
    </row>
    <row r="49" spans="1:26">
      <c r="A49" t="s">
        <v>89</v>
      </c>
      <c r="B49" s="3">
        <f>-CO2排放量!K62</f>
        <v>-857.573214913333</v>
      </c>
      <c r="C49" s="3">
        <f>就业人口!K62</f>
        <v>1304</v>
      </c>
      <c r="D49" s="3">
        <f>资本存量!K62</f>
        <v>88866.3016189102</v>
      </c>
      <c r="E49" s="3">
        <f>能源消耗量!L62</f>
        <v>23068.47</v>
      </c>
      <c r="F49" s="3">
        <f t="shared" si="7"/>
        <v>16998.3732149133</v>
      </c>
      <c r="G49" s="3">
        <f t="shared" si="11"/>
        <v>1700416</v>
      </c>
      <c r="H49" s="3">
        <f t="shared" si="11"/>
        <v>7897219563.42311</v>
      </c>
      <c r="I49" s="3">
        <f t="shared" si="11"/>
        <v>532154308.1409</v>
      </c>
      <c r="J49" s="3">
        <f t="shared" si="1"/>
        <v>115881657.311059</v>
      </c>
      <c r="K49" s="3">
        <f t="shared" si="2"/>
        <v>30081284.88</v>
      </c>
      <c r="L49" s="3">
        <f t="shared" si="3"/>
        <v>2050009612.90678</v>
      </c>
      <c r="M49" s="3">
        <f t="shared" si="8"/>
        <v>288944691.953483</v>
      </c>
      <c r="N49" s="3">
        <f t="shared" si="4"/>
        <v>22165878.672247</v>
      </c>
      <c r="O49" s="3">
        <f t="shared" si="5"/>
        <v>1510582561.14729</v>
      </c>
      <c r="P49" s="3">
        <f t="shared" si="6"/>
        <v>392126462.557032</v>
      </c>
      <c r="Q49">
        <v>5</v>
      </c>
      <c r="R49">
        <v>8</v>
      </c>
      <c r="S49">
        <f>GDP!K62</f>
        <v>16140.8</v>
      </c>
      <c r="V49">
        <f t="shared" si="9"/>
        <v>-1.21070746457815</v>
      </c>
      <c r="X49" s="1">
        <f t="shared" si="10"/>
        <v>24.5518938648712</v>
      </c>
      <c r="Y49" s="2">
        <v>16769.6119388</v>
      </c>
      <c r="Z49" s="2">
        <v>826.946160004123</v>
      </c>
    </row>
    <row r="50" spans="1:26">
      <c r="A50" t="s">
        <v>90</v>
      </c>
      <c r="B50" s="3">
        <f>-CO2排放量!K63</f>
        <v>-972.78727886</v>
      </c>
      <c r="C50" s="3">
        <f>就业人口!K63</f>
        <v>1272</v>
      </c>
      <c r="D50" s="3">
        <f>资本存量!K63</f>
        <v>91113.5835033876</v>
      </c>
      <c r="E50" s="3">
        <f>能源消耗量!L63</f>
        <v>25345.57</v>
      </c>
      <c r="F50" s="3">
        <f t="shared" si="7"/>
        <v>18185.31727886</v>
      </c>
      <c r="G50" s="3">
        <f t="shared" si="11"/>
        <v>1617984</v>
      </c>
      <c r="H50" s="3">
        <f t="shared" si="11"/>
        <v>8301685098.82878</v>
      </c>
      <c r="I50" s="3">
        <f t="shared" si="11"/>
        <v>642397918.6249</v>
      </c>
      <c r="J50" s="3">
        <f t="shared" si="1"/>
        <v>115896478.216309</v>
      </c>
      <c r="K50" s="3">
        <f t="shared" si="2"/>
        <v>32239565.04</v>
      </c>
      <c r="L50" s="3">
        <f t="shared" si="3"/>
        <v>2309325708.63596</v>
      </c>
      <c r="M50" s="3">
        <f t="shared" si="8"/>
        <v>330705764.532804</v>
      </c>
      <c r="N50" s="3">
        <f t="shared" si="4"/>
        <v>23131723.5787099</v>
      </c>
      <c r="O50" s="3">
        <f t="shared" si="5"/>
        <v>1656929424.42301</v>
      </c>
      <c r="P50" s="3">
        <f t="shared" si="6"/>
        <v>460917232.063556</v>
      </c>
      <c r="Q50">
        <v>5</v>
      </c>
      <c r="R50">
        <v>9</v>
      </c>
      <c r="S50">
        <f>GDP!K63</f>
        <v>17212.53</v>
      </c>
      <c r="V50">
        <f t="shared" si="9"/>
        <v>-1.19447076828604</v>
      </c>
      <c r="X50" s="1">
        <f t="shared" si="10"/>
        <v>24.2226304748756</v>
      </c>
      <c r="Y50" s="2">
        <v>16769.6119388</v>
      </c>
      <c r="Z50" s="2">
        <v>826.946160004123</v>
      </c>
    </row>
    <row r="51" spans="1:26">
      <c r="A51" t="s">
        <v>91</v>
      </c>
      <c r="B51" s="3">
        <f>-CO2排放量!K64</f>
        <v>-1046.66219544667</v>
      </c>
      <c r="C51" s="3">
        <f>就业人口!K64</f>
        <v>1242</v>
      </c>
      <c r="D51" s="3">
        <f>资本存量!K64</f>
        <v>92961.892730677</v>
      </c>
      <c r="E51" s="3">
        <f>能源消耗量!L64</f>
        <v>27133.65</v>
      </c>
      <c r="F51" s="3">
        <f t="shared" si="7"/>
        <v>18406.4821954467</v>
      </c>
      <c r="G51" s="3">
        <f t="shared" si="11"/>
        <v>1542564</v>
      </c>
      <c r="H51" s="3">
        <f t="shared" si="11"/>
        <v>8641913500.0699</v>
      </c>
      <c r="I51" s="3">
        <f t="shared" si="11"/>
        <v>736234962.3225</v>
      </c>
      <c r="J51" s="3">
        <f t="shared" si="1"/>
        <v>115458670.771501</v>
      </c>
      <c r="K51" s="3">
        <f t="shared" si="2"/>
        <v>33699993.3</v>
      </c>
      <c r="L51" s="3">
        <f t="shared" si="3"/>
        <v>2522395460.69173</v>
      </c>
      <c r="M51" s="3">
        <f t="shared" si="8"/>
        <v>338798586.811295</v>
      </c>
      <c r="N51" s="3">
        <f t="shared" si="4"/>
        <v>22860850.8867448</v>
      </c>
      <c r="O51" s="3">
        <f t="shared" si="5"/>
        <v>1711101423.40223</v>
      </c>
      <c r="P51" s="3">
        <f t="shared" si="6"/>
        <v>499435045.622482</v>
      </c>
      <c r="Q51">
        <v>5</v>
      </c>
      <c r="R51">
        <v>10</v>
      </c>
      <c r="S51">
        <f>GDP!K64</f>
        <v>17359.82</v>
      </c>
      <c r="V51">
        <f t="shared" si="9"/>
        <v>-1.18264086133671</v>
      </c>
      <c r="X51" s="1">
        <f t="shared" si="10"/>
        <v>23.9827322101428</v>
      </c>
      <c r="Y51" s="2">
        <v>16769.6119388</v>
      </c>
      <c r="Z51" s="2">
        <v>826.946160004123</v>
      </c>
    </row>
    <row r="52" spans="1:26">
      <c r="A52" t="s">
        <v>92</v>
      </c>
      <c r="B52" s="3">
        <f>-CO2排放量!K65</f>
        <v>-169.6941547</v>
      </c>
      <c r="C52" s="3">
        <f>就业人口!K65</f>
        <v>1379</v>
      </c>
      <c r="D52" s="3">
        <f>资本存量!K65</f>
        <v>12063.6172496492</v>
      </c>
      <c r="E52" s="3">
        <f>能源消耗量!L65</f>
        <v>6393.69</v>
      </c>
      <c r="F52" s="3">
        <f t="shared" si="7"/>
        <v>5190.0641547</v>
      </c>
      <c r="G52" s="3">
        <f t="shared" si="11"/>
        <v>1901641</v>
      </c>
      <c r="H52" s="3">
        <f t="shared" si="11"/>
        <v>145530861.146034</v>
      </c>
      <c r="I52" s="3">
        <f t="shared" si="11"/>
        <v>40879271.8161</v>
      </c>
      <c r="J52" s="3">
        <f t="shared" si="1"/>
        <v>16635728.1872663</v>
      </c>
      <c r="K52" s="3">
        <f t="shared" si="2"/>
        <v>8816898.51</v>
      </c>
      <c r="L52" s="3">
        <f t="shared" si="3"/>
        <v>77131028.9729097</v>
      </c>
      <c r="M52" s="3">
        <f t="shared" si="8"/>
        <v>26936765.9299018</v>
      </c>
      <c r="N52" s="3">
        <f t="shared" si="4"/>
        <v>7157098.4693313</v>
      </c>
      <c r="O52" s="3">
        <f t="shared" si="5"/>
        <v>62610947.463425</v>
      </c>
      <c r="P52" s="3">
        <f t="shared" si="6"/>
        <v>33183661.2852638</v>
      </c>
      <c r="Q52">
        <v>6</v>
      </c>
      <c r="R52">
        <v>1</v>
      </c>
      <c r="S52">
        <f>GDP!K65</f>
        <v>5020.37</v>
      </c>
      <c r="V52">
        <f t="shared" si="9"/>
        <v>-1.6926630730718</v>
      </c>
      <c r="X52" s="1">
        <f t="shared" si="10"/>
        <v>67.2755081709685</v>
      </c>
      <c r="Y52" s="2">
        <v>7112.7743489</v>
      </c>
      <c r="Z52" s="2">
        <v>178.958596000183</v>
      </c>
    </row>
    <row r="53" spans="1:26">
      <c r="A53" t="s">
        <v>93</v>
      </c>
      <c r="B53" s="3">
        <f>-CO2排放量!K66</f>
        <v>-173.753779086667</v>
      </c>
      <c r="C53" s="3">
        <f>就业人口!K66</f>
        <v>1358</v>
      </c>
      <c r="D53" s="3">
        <f>资本存量!K66</f>
        <v>15085.7499936829</v>
      </c>
      <c r="E53" s="3">
        <f>能源消耗量!L66</f>
        <v>6893.76</v>
      </c>
      <c r="F53" s="3">
        <f t="shared" si="7"/>
        <v>5823.95773808667</v>
      </c>
      <c r="G53" s="3">
        <f t="shared" si="11"/>
        <v>1844164</v>
      </c>
      <c r="H53" s="3">
        <f t="shared" si="11"/>
        <v>227579852.871903</v>
      </c>
      <c r="I53" s="3">
        <f t="shared" si="11"/>
        <v>47523926.9376</v>
      </c>
      <c r="J53" s="3">
        <f t="shared" si="1"/>
        <v>20486448.4914214</v>
      </c>
      <c r="K53" s="3">
        <f t="shared" si="2"/>
        <v>9361726.08</v>
      </c>
      <c r="L53" s="3">
        <f t="shared" si="3"/>
        <v>103997539.876451</v>
      </c>
      <c r="M53" s="3">
        <f t="shared" si="8"/>
        <v>33918483.7350196</v>
      </c>
      <c r="N53" s="3">
        <f t="shared" si="4"/>
        <v>7908934.60832169</v>
      </c>
      <c r="O53" s="3">
        <f t="shared" si="5"/>
        <v>87858770.4105504</v>
      </c>
      <c r="P53" s="3">
        <f t="shared" si="6"/>
        <v>40148966.8965123</v>
      </c>
      <c r="Q53">
        <v>6</v>
      </c>
      <c r="R53">
        <v>2</v>
      </c>
      <c r="S53">
        <f>GDP!K66</f>
        <v>5650.203959</v>
      </c>
      <c r="V53">
        <f t="shared" si="9"/>
        <v>-1.65207820894209</v>
      </c>
      <c r="X53" s="1">
        <f t="shared" si="10"/>
        <v>65.6624480163444</v>
      </c>
      <c r="Y53" s="2">
        <v>7112.7743489</v>
      </c>
      <c r="Z53" s="2">
        <v>178.958596000183</v>
      </c>
    </row>
    <row r="54" spans="1:26">
      <c r="A54" t="s">
        <v>94</v>
      </c>
      <c r="B54" s="3">
        <f>-CO2排放量!K67</f>
        <v>-181.466489813333</v>
      </c>
      <c r="C54" s="3">
        <f>就业人口!K67</f>
        <v>1352</v>
      </c>
      <c r="D54" s="3">
        <f>资本存量!K67</f>
        <v>18678.0479942893</v>
      </c>
      <c r="E54" s="3">
        <f>能源消耗量!L67</f>
        <v>7286.72</v>
      </c>
      <c r="F54" s="3">
        <f t="shared" si="7"/>
        <v>6512.15880481333</v>
      </c>
      <c r="G54" s="3">
        <f t="shared" si="11"/>
        <v>1827904</v>
      </c>
      <c r="H54" s="3">
        <f t="shared" si="11"/>
        <v>348869476.876976</v>
      </c>
      <c r="I54" s="3">
        <f t="shared" si="11"/>
        <v>53096288.3584</v>
      </c>
      <c r="J54" s="3">
        <f t="shared" si="1"/>
        <v>25252720.8882792</v>
      </c>
      <c r="K54" s="3">
        <f t="shared" si="2"/>
        <v>9851645.44</v>
      </c>
      <c r="L54" s="3">
        <f t="shared" si="3"/>
        <v>136101705.880948</v>
      </c>
      <c r="M54" s="3">
        <f t="shared" si="8"/>
        <v>42408212.2991078</v>
      </c>
      <c r="N54" s="3">
        <f t="shared" si="4"/>
        <v>8804438.70410763</v>
      </c>
      <c r="O54" s="3">
        <f t="shared" si="5"/>
        <v>121634414.702737</v>
      </c>
      <c r="P54" s="3">
        <f t="shared" si="6"/>
        <v>47452277.8062094</v>
      </c>
      <c r="Q54">
        <v>6</v>
      </c>
      <c r="R54">
        <v>3</v>
      </c>
      <c r="S54">
        <f>GDP!K67</f>
        <v>6330.692315</v>
      </c>
      <c r="V54">
        <f t="shared" si="9"/>
        <v>-1.62097870560678</v>
      </c>
      <c r="X54" s="1">
        <f t="shared" si="10"/>
        <v>64.4263869690912</v>
      </c>
      <c r="Y54" s="2">
        <v>7112.7743489</v>
      </c>
      <c r="Z54" s="2">
        <v>178.958596000183</v>
      </c>
    </row>
    <row r="55" spans="1:26">
      <c r="A55" t="s">
        <v>95</v>
      </c>
      <c r="B55" s="3">
        <f>-CO2排放量!K68</f>
        <v>-180.468552293333</v>
      </c>
      <c r="C55" s="3">
        <f>就业人口!K68</f>
        <v>1348</v>
      </c>
      <c r="D55" s="3">
        <f>资本存量!K68</f>
        <v>23292.1553868376</v>
      </c>
      <c r="E55" s="3">
        <f>能源消耗量!L68</f>
        <v>7521.45</v>
      </c>
      <c r="F55" s="3">
        <f t="shared" si="7"/>
        <v>7017.28934029333</v>
      </c>
      <c r="G55" s="3">
        <f t="shared" si="11"/>
        <v>1817104</v>
      </c>
      <c r="H55" s="3">
        <f t="shared" si="11"/>
        <v>542524502.564586</v>
      </c>
      <c r="I55" s="3">
        <f t="shared" si="11"/>
        <v>56572210.1025</v>
      </c>
      <c r="J55" s="3">
        <f t="shared" si="1"/>
        <v>31397825.461457</v>
      </c>
      <c r="K55" s="3">
        <f t="shared" si="2"/>
        <v>10138914.6</v>
      </c>
      <c r="L55" s="3">
        <f t="shared" si="3"/>
        <v>175190782.134329</v>
      </c>
      <c r="M55" s="3">
        <f t="shared" si="8"/>
        <v>49242349.6853944</v>
      </c>
      <c r="N55" s="3">
        <f t="shared" si="4"/>
        <v>9459306.03071541</v>
      </c>
      <c r="O55" s="3">
        <f t="shared" si="5"/>
        <v>163447793.708511</v>
      </c>
      <c r="P55" s="3">
        <f t="shared" si="6"/>
        <v>52780190.9085493</v>
      </c>
      <c r="Q55">
        <v>6</v>
      </c>
      <c r="R55">
        <v>4</v>
      </c>
      <c r="S55">
        <f>GDP!K68</f>
        <v>6836.820788</v>
      </c>
      <c r="V55">
        <f t="shared" si="9"/>
        <v>-1.59822327155502</v>
      </c>
      <c r="X55" s="1">
        <f t="shared" si="10"/>
        <v>63.5219639838927</v>
      </c>
      <c r="Y55" s="2">
        <v>7112.7743489</v>
      </c>
      <c r="Z55" s="2">
        <v>178.958596000183</v>
      </c>
    </row>
    <row r="56" spans="1:26">
      <c r="A56" t="s">
        <v>96</v>
      </c>
      <c r="B56" s="3">
        <f>-CO2排放量!K69</f>
        <v>-176.575300766667</v>
      </c>
      <c r="C56" s="3">
        <f>就业人口!K69</f>
        <v>1346</v>
      </c>
      <c r="D56" s="3">
        <f>资本存量!K69</f>
        <v>28815.7284697012</v>
      </c>
      <c r="E56" s="3">
        <f>能源消耗量!L69</f>
        <v>7488.5</v>
      </c>
      <c r="F56" s="3">
        <f t="shared" si="7"/>
        <v>6966.89219876667</v>
      </c>
      <c r="G56" s="3">
        <f t="shared" si="11"/>
        <v>1811716</v>
      </c>
      <c r="H56" s="3">
        <f t="shared" si="11"/>
        <v>830346207.239546</v>
      </c>
      <c r="I56" s="3">
        <f t="shared" si="11"/>
        <v>56077632.25</v>
      </c>
      <c r="J56" s="3">
        <f t="shared" si="1"/>
        <v>38785970.5202178</v>
      </c>
      <c r="K56" s="3">
        <f t="shared" si="2"/>
        <v>10079521</v>
      </c>
      <c r="L56" s="3">
        <f t="shared" si="3"/>
        <v>215786582.645357</v>
      </c>
      <c r="M56" s="3">
        <f t="shared" si="8"/>
        <v>48537586.9092358</v>
      </c>
      <c r="N56" s="3">
        <f t="shared" si="4"/>
        <v>9377436.89953993</v>
      </c>
      <c r="O56" s="3">
        <f t="shared" si="5"/>
        <v>200756073.877339</v>
      </c>
      <c r="P56" s="3">
        <f t="shared" si="6"/>
        <v>52171572.2304642</v>
      </c>
      <c r="Q56">
        <v>6</v>
      </c>
      <c r="R56">
        <v>5</v>
      </c>
      <c r="S56">
        <f>GDP!K69</f>
        <v>6790.316898</v>
      </c>
      <c r="V56">
        <f t="shared" si="9"/>
        <v>-1.5855215521809</v>
      </c>
      <c r="X56" s="1">
        <f t="shared" si="10"/>
        <v>63.0171295374314</v>
      </c>
      <c r="Y56" s="2">
        <v>7112.7743489</v>
      </c>
      <c r="Z56" s="2">
        <v>178.958596000183</v>
      </c>
    </row>
    <row r="57" spans="1:26">
      <c r="A57" t="s">
        <v>97</v>
      </c>
      <c r="B57" s="3">
        <f>-CO2排放量!K70</f>
        <v>-169.7165295</v>
      </c>
      <c r="C57" s="3">
        <f>就业人口!K70</f>
        <v>1341</v>
      </c>
      <c r="D57" s="3">
        <f>资本存量!K70</f>
        <v>34676.0185366098</v>
      </c>
      <c r="E57" s="3">
        <f>能源消耗量!L70</f>
        <v>7299.93</v>
      </c>
      <c r="F57" s="3">
        <f t="shared" si="7"/>
        <v>7370.0865295</v>
      </c>
      <c r="G57" s="3">
        <f t="shared" si="11"/>
        <v>1798281</v>
      </c>
      <c r="H57" s="3">
        <f t="shared" si="11"/>
        <v>1202426261.55131</v>
      </c>
      <c r="I57" s="3">
        <f t="shared" si="11"/>
        <v>53288978.0049</v>
      </c>
      <c r="J57" s="3">
        <f t="shared" si="1"/>
        <v>46500540.8575938</v>
      </c>
      <c r="K57" s="3">
        <f t="shared" si="2"/>
        <v>9789206.13</v>
      </c>
      <c r="L57" s="3">
        <f t="shared" si="3"/>
        <v>253132507.995954</v>
      </c>
      <c r="M57" s="3">
        <f t="shared" si="8"/>
        <v>54318175.4523174</v>
      </c>
      <c r="N57" s="3">
        <f t="shared" si="4"/>
        <v>9883286.0360595</v>
      </c>
      <c r="O57" s="3">
        <f t="shared" si="5"/>
        <v>255565257.113361</v>
      </c>
      <c r="P57" s="3">
        <f t="shared" si="6"/>
        <v>53801115.7592929</v>
      </c>
      <c r="Q57">
        <v>6</v>
      </c>
      <c r="R57">
        <v>6</v>
      </c>
      <c r="S57">
        <f>GDP!K70</f>
        <v>7200.37</v>
      </c>
      <c r="V57">
        <f t="shared" si="9"/>
        <v>-1.58751829885384</v>
      </c>
      <c r="X57" s="1">
        <f t="shared" si="10"/>
        <v>63.096490958643</v>
      </c>
      <c r="Y57" s="2">
        <v>7112.7743489</v>
      </c>
      <c r="Z57" s="2">
        <v>178.958596000183</v>
      </c>
    </row>
    <row r="58" spans="1:26">
      <c r="A58" t="s">
        <v>98</v>
      </c>
      <c r="B58" s="3">
        <f>-CO2排放量!K71</f>
        <v>-173.986765128496</v>
      </c>
      <c r="C58" s="3">
        <f>就业人口!K71</f>
        <v>1337</v>
      </c>
      <c r="D58" s="3">
        <f>资本存量!K71</f>
        <v>40881.2207570953</v>
      </c>
      <c r="E58" s="3">
        <f>能源消耗量!L71</f>
        <v>7503.63</v>
      </c>
      <c r="F58" s="3">
        <f t="shared" si="7"/>
        <v>7633.8862941285</v>
      </c>
      <c r="G58" s="3">
        <f t="shared" si="11"/>
        <v>1787569</v>
      </c>
      <c r="H58" s="3">
        <f t="shared" si="11"/>
        <v>1671274210.59036</v>
      </c>
      <c r="I58" s="3">
        <f t="shared" si="11"/>
        <v>56304463.1769</v>
      </c>
      <c r="J58" s="3">
        <f t="shared" si="1"/>
        <v>54658192.1522364</v>
      </c>
      <c r="K58" s="3">
        <f t="shared" si="2"/>
        <v>10032353.31</v>
      </c>
      <c r="L58" s="3">
        <f t="shared" si="3"/>
        <v>306757554.509563</v>
      </c>
      <c r="M58" s="3">
        <f t="shared" si="8"/>
        <v>58276219.9516829</v>
      </c>
      <c r="N58" s="3">
        <f t="shared" si="4"/>
        <v>10206505.9752498</v>
      </c>
      <c r="O58" s="3">
        <f t="shared" si="5"/>
        <v>312082590.824831</v>
      </c>
      <c r="P58" s="3">
        <f t="shared" si="6"/>
        <v>57281858.2132114</v>
      </c>
      <c r="Q58">
        <v>6</v>
      </c>
      <c r="R58">
        <v>7</v>
      </c>
      <c r="S58">
        <f>GDP!K71</f>
        <v>7459.899529</v>
      </c>
      <c r="V58">
        <f t="shared" si="9"/>
        <v>-1.56269306092486</v>
      </c>
      <c r="X58" s="1">
        <f t="shared" si="10"/>
        <v>62.1098028671336</v>
      </c>
      <c r="Y58" s="2">
        <v>7112.7743489</v>
      </c>
      <c r="Z58" s="2">
        <v>178.958596000183</v>
      </c>
    </row>
    <row r="59" spans="1:26">
      <c r="A59" t="s">
        <v>99</v>
      </c>
      <c r="B59" s="3">
        <f>-CO2排放量!K72</f>
        <v>-182.496485733333</v>
      </c>
      <c r="C59" s="3">
        <f>就业人口!K72</f>
        <v>1337</v>
      </c>
      <c r="D59" s="3">
        <f>资本存量!K72</f>
        <v>46118.8936644142</v>
      </c>
      <c r="E59" s="3">
        <f>能源消耗量!L72</f>
        <v>7822.54</v>
      </c>
      <c r="F59" s="3">
        <f t="shared" si="7"/>
        <v>8286.56648573333</v>
      </c>
      <c r="G59" s="3">
        <f t="shared" si="11"/>
        <v>1787569</v>
      </c>
      <c r="H59" s="3">
        <f t="shared" si="11"/>
        <v>2126952352.82954</v>
      </c>
      <c r="I59" s="3">
        <f t="shared" si="11"/>
        <v>61192132.0516</v>
      </c>
      <c r="J59" s="3">
        <f t="shared" si="1"/>
        <v>61660960.8293217</v>
      </c>
      <c r="K59" s="3">
        <f t="shared" si="2"/>
        <v>10458735.98</v>
      </c>
      <c r="L59" s="3">
        <f t="shared" si="3"/>
        <v>360766890.445626</v>
      </c>
      <c r="M59" s="3">
        <f t="shared" si="8"/>
        <v>68667184.1224789</v>
      </c>
      <c r="N59" s="3">
        <f t="shared" si="4"/>
        <v>11079139.3914255</v>
      </c>
      <c r="O59" s="3">
        <f t="shared" si="5"/>
        <v>382167278.598634</v>
      </c>
      <c r="P59" s="3">
        <f t="shared" si="6"/>
        <v>64821997.7973084</v>
      </c>
      <c r="Q59">
        <v>6</v>
      </c>
      <c r="R59">
        <v>8</v>
      </c>
      <c r="S59">
        <f>GDP!K72</f>
        <v>8104.07</v>
      </c>
      <c r="V59">
        <f t="shared" si="9"/>
        <v>-1.53897889291689</v>
      </c>
      <c r="X59" s="1">
        <f t="shared" si="10"/>
        <v>61.1672746528844</v>
      </c>
      <c r="Y59" s="2">
        <v>7112.7743489</v>
      </c>
      <c r="Z59" s="2">
        <v>178.958596000183</v>
      </c>
    </row>
    <row r="60" spans="1:26">
      <c r="A60" t="s">
        <v>100</v>
      </c>
      <c r="B60" s="3">
        <f>-CO2排放量!K73</f>
        <v>-185.441376746667</v>
      </c>
      <c r="C60" s="3">
        <f>就业人口!K73</f>
        <v>1333</v>
      </c>
      <c r="D60" s="3">
        <f>资本存量!K73</f>
        <v>51454.7948911904</v>
      </c>
      <c r="E60" s="3">
        <f>能源消耗量!L73</f>
        <v>7818.02</v>
      </c>
      <c r="F60" s="3">
        <f t="shared" si="7"/>
        <v>8903.74137674667</v>
      </c>
      <c r="G60" s="3">
        <f t="shared" si="11"/>
        <v>1776889</v>
      </c>
      <c r="H60" s="3">
        <f t="shared" si="11"/>
        <v>2647595917.29447</v>
      </c>
      <c r="I60" s="3">
        <f t="shared" si="11"/>
        <v>61121436.7204</v>
      </c>
      <c r="J60" s="3">
        <f t="shared" si="1"/>
        <v>68589241.5899568</v>
      </c>
      <c r="K60" s="3">
        <f t="shared" si="2"/>
        <v>10421420.66</v>
      </c>
      <c r="L60" s="3">
        <f t="shared" si="3"/>
        <v>402274615.555224</v>
      </c>
      <c r="M60" s="3">
        <f t="shared" si="8"/>
        <v>79276610.5039906</v>
      </c>
      <c r="N60" s="3">
        <f t="shared" si="4"/>
        <v>11868687.2552033</v>
      </c>
      <c r="O60" s="3">
        <f t="shared" si="5"/>
        <v>458140186.304705</v>
      </c>
      <c r="P60" s="3">
        <f t="shared" si="6"/>
        <v>69609628.158233</v>
      </c>
      <c r="Q60">
        <v>6</v>
      </c>
      <c r="R60">
        <v>9</v>
      </c>
      <c r="S60">
        <f>GDP!K73</f>
        <v>8718.3</v>
      </c>
      <c r="V60">
        <f t="shared" si="9"/>
        <v>-1.53373630064563</v>
      </c>
      <c r="X60" s="1">
        <f t="shared" si="10"/>
        <v>60.9589059203274</v>
      </c>
      <c r="Y60" s="2">
        <v>7112.7743489</v>
      </c>
      <c r="Z60" s="2">
        <v>178.958596000183</v>
      </c>
    </row>
    <row r="61" spans="1:26">
      <c r="A61" t="s">
        <v>101</v>
      </c>
      <c r="B61" s="3">
        <f>-CO2排放量!K74</f>
        <v>-195.986526233333</v>
      </c>
      <c r="C61" s="3">
        <f>就业人口!K74</f>
        <v>1331</v>
      </c>
      <c r="D61" s="3">
        <f>资本存量!K74</f>
        <v>57044.8698291531</v>
      </c>
      <c r="E61" s="3">
        <f>能源消耗量!L74</f>
        <v>8104.71</v>
      </c>
      <c r="F61" s="3">
        <f t="shared" si="7"/>
        <v>9212.68652623333</v>
      </c>
      <c r="G61" s="3">
        <f t="shared" si="11"/>
        <v>1771561</v>
      </c>
      <c r="H61" s="3">
        <f t="shared" si="11"/>
        <v>3254117173.82502</v>
      </c>
      <c r="I61" s="3">
        <f t="shared" si="11"/>
        <v>65686324.1841</v>
      </c>
      <c r="J61" s="3">
        <f t="shared" si="1"/>
        <v>75926721.7426028</v>
      </c>
      <c r="K61" s="3">
        <f t="shared" si="2"/>
        <v>10787369.01</v>
      </c>
      <c r="L61" s="3">
        <f t="shared" si="3"/>
        <v>462332126.953035</v>
      </c>
      <c r="M61" s="3">
        <f t="shared" si="8"/>
        <v>84873593.0306412</v>
      </c>
      <c r="N61" s="3">
        <f t="shared" si="4"/>
        <v>12262085.7664166</v>
      </c>
      <c r="O61" s="3">
        <f t="shared" si="5"/>
        <v>525536503.665773</v>
      </c>
      <c r="P61" s="3">
        <f t="shared" si="6"/>
        <v>74666152.6160286</v>
      </c>
      <c r="Q61">
        <v>6</v>
      </c>
      <c r="R61">
        <v>10</v>
      </c>
      <c r="S61">
        <f>GDP!K74</f>
        <v>9016.7</v>
      </c>
      <c r="V61">
        <f t="shared" si="9"/>
        <v>-1.51052209525419</v>
      </c>
      <c r="X61" s="1">
        <f t="shared" si="10"/>
        <v>60.0362489017277</v>
      </c>
      <c r="Y61" s="2">
        <v>7112.7743489</v>
      </c>
      <c r="Z61" s="2">
        <v>178.958596000183</v>
      </c>
    </row>
    <row r="62" spans="1:26">
      <c r="A62" t="s">
        <v>102</v>
      </c>
      <c r="B62" s="3">
        <f>-CO2排放量!K75</f>
        <v>-190.948225753333</v>
      </c>
      <c r="C62" s="3">
        <f>就业人口!K75</f>
        <v>478.5</v>
      </c>
      <c r="D62" s="3">
        <f>资本存量!K75</f>
        <v>5189.69429498617</v>
      </c>
      <c r="E62" s="3">
        <f>能源消耗量!L75</f>
        <v>4719.9</v>
      </c>
      <c r="F62" s="3">
        <f t="shared" si="7"/>
        <v>2293.15822575333</v>
      </c>
      <c r="G62" s="3">
        <f t="shared" si="11"/>
        <v>228962.25</v>
      </c>
      <c r="H62" s="3">
        <f t="shared" si="11"/>
        <v>26932926.875412</v>
      </c>
      <c r="I62" s="3">
        <f t="shared" si="11"/>
        <v>22277456.01</v>
      </c>
      <c r="J62" s="3">
        <f t="shared" si="1"/>
        <v>2483268.72015088</v>
      </c>
      <c r="K62" s="3">
        <f t="shared" si="2"/>
        <v>2258472.15</v>
      </c>
      <c r="L62" s="3">
        <f t="shared" si="3"/>
        <v>24494838.1029052</v>
      </c>
      <c r="M62" s="3">
        <f t="shared" si="8"/>
        <v>5258574.64834017</v>
      </c>
      <c r="N62" s="3">
        <f t="shared" si="4"/>
        <v>1097276.21102297</v>
      </c>
      <c r="O62" s="3">
        <f t="shared" si="5"/>
        <v>11900790.1616927</v>
      </c>
      <c r="P62" s="3">
        <f t="shared" si="6"/>
        <v>10823477.5097332</v>
      </c>
      <c r="Q62">
        <v>7</v>
      </c>
      <c r="R62">
        <v>1</v>
      </c>
      <c r="S62">
        <f>GDP!K75</f>
        <v>2102.21</v>
      </c>
      <c r="V62">
        <f t="shared" si="9"/>
        <v>-2.10949058424713</v>
      </c>
      <c r="X62" s="1">
        <f t="shared" si="10"/>
        <v>30.3371302480268</v>
      </c>
      <c r="Y62" s="2">
        <v>3047.633</v>
      </c>
      <c r="Z62" s="2">
        <v>211.916983089031</v>
      </c>
    </row>
    <row r="63" spans="1:26">
      <c r="A63" t="s">
        <v>103</v>
      </c>
      <c r="B63" s="3">
        <f>-CO2排放量!K76</f>
        <v>-188.569617441279</v>
      </c>
      <c r="C63" s="3">
        <f>就业人口!K76</f>
        <v>487.9</v>
      </c>
      <c r="D63" s="3">
        <f>资本存量!K76</f>
        <v>6801.00184266749</v>
      </c>
      <c r="E63" s="3">
        <f>能源消耗量!L76</f>
        <v>4895.2</v>
      </c>
      <c r="F63" s="3">
        <f t="shared" si="7"/>
        <v>2529.85961744128</v>
      </c>
      <c r="G63" s="3">
        <f t="shared" si="11"/>
        <v>238046.41</v>
      </c>
      <c r="H63" s="3">
        <f t="shared" si="11"/>
        <v>46253626.0639666</v>
      </c>
      <c r="I63" s="3">
        <f t="shared" si="11"/>
        <v>23962983.04</v>
      </c>
      <c r="J63" s="3">
        <f t="shared" si="1"/>
        <v>3318208.79903747</v>
      </c>
      <c r="K63" s="3">
        <f t="shared" si="2"/>
        <v>2388368.08</v>
      </c>
      <c r="L63" s="3">
        <f t="shared" si="3"/>
        <v>33292264.2202259</v>
      </c>
      <c r="M63" s="3">
        <f t="shared" si="8"/>
        <v>6400189.68396014</v>
      </c>
      <c r="N63" s="3">
        <f t="shared" si="4"/>
        <v>1234318.5073496</v>
      </c>
      <c r="O63" s="3">
        <f t="shared" si="5"/>
        <v>17205579.9199082</v>
      </c>
      <c r="P63" s="3">
        <f t="shared" si="6"/>
        <v>12384168.7992985</v>
      </c>
      <c r="Q63">
        <v>7</v>
      </c>
      <c r="R63">
        <v>2</v>
      </c>
      <c r="S63">
        <f>GDP!K76</f>
        <v>2341.29</v>
      </c>
      <c r="V63">
        <f t="shared" si="9"/>
        <v>-2.06212478762047</v>
      </c>
      <c r="X63" s="1">
        <f t="shared" si="10"/>
        <v>29.6559504635353</v>
      </c>
      <c r="Y63" s="2">
        <v>3047.633</v>
      </c>
      <c r="Z63" s="2">
        <v>211.916983089031</v>
      </c>
    </row>
    <row r="64" spans="1:26">
      <c r="A64" t="s">
        <v>104</v>
      </c>
      <c r="B64" s="3">
        <f>-CO2排放量!K77</f>
        <v>-187.756074066667</v>
      </c>
      <c r="C64" s="3">
        <f>就业人口!K77</f>
        <v>494</v>
      </c>
      <c r="D64" s="3">
        <f>资本存量!K77</f>
        <v>8829.24856577141</v>
      </c>
      <c r="E64" s="3">
        <f>能源消耗量!L77</f>
        <v>5186.8</v>
      </c>
      <c r="F64" s="3">
        <f t="shared" si="7"/>
        <v>2765.32607406667</v>
      </c>
      <c r="G64" s="3">
        <f t="shared" si="11"/>
        <v>244036</v>
      </c>
      <c r="H64" s="3">
        <f t="shared" si="11"/>
        <v>77955630.2361766</v>
      </c>
      <c r="I64" s="3">
        <f t="shared" si="11"/>
        <v>26902894.24</v>
      </c>
      <c r="J64" s="3">
        <f t="shared" si="1"/>
        <v>4361648.79149108</v>
      </c>
      <c r="K64" s="3">
        <f t="shared" si="2"/>
        <v>2562279.2</v>
      </c>
      <c r="L64" s="3">
        <f t="shared" si="3"/>
        <v>45795546.4609432</v>
      </c>
      <c r="M64" s="3">
        <f t="shared" si="8"/>
        <v>7647028.29591297</v>
      </c>
      <c r="N64" s="3">
        <f t="shared" si="4"/>
        <v>1366071.08058893</v>
      </c>
      <c r="O64" s="3">
        <f t="shared" si="5"/>
        <v>24415751.2733434</v>
      </c>
      <c r="P64" s="3">
        <f t="shared" si="6"/>
        <v>14343193.280969</v>
      </c>
      <c r="Q64">
        <v>7</v>
      </c>
      <c r="R64">
        <v>3</v>
      </c>
      <c r="S64">
        <f>GDP!K77</f>
        <v>2577.57</v>
      </c>
      <c r="V64">
        <f t="shared" si="9"/>
        <v>-1.9943443385669</v>
      </c>
      <c r="X64" s="1">
        <f t="shared" si="10"/>
        <v>28.6811822770531</v>
      </c>
      <c r="Y64" s="2">
        <v>3047.633</v>
      </c>
      <c r="Z64" s="2">
        <v>211.916983089031</v>
      </c>
    </row>
    <row r="65" spans="1:26">
      <c r="A65" t="s">
        <v>105</v>
      </c>
      <c r="B65" s="3">
        <f>-CO2排放量!K78</f>
        <v>-195.215828807213</v>
      </c>
      <c r="C65" s="3">
        <f>就业人口!K78</f>
        <v>499.15</v>
      </c>
      <c r="D65" s="3">
        <f>资本存量!K78</f>
        <v>11182.6256034574</v>
      </c>
      <c r="E65" s="3">
        <f>能源消耗量!L78</f>
        <v>5336.2</v>
      </c>
      <c r="F65" s="3">
        <f t="shared" si="7"/>
        <v>2947.31582880721</v>
      </c>
      <c r="G65" s="3">
        <f t="shared" si="11"/>
        <v>249150.7225</v>
      </c>
      <c r="H65" s="3">
        <f t="shared" si="11"/>
        <v>125051115.3871</v>
      </c>
      <c r="I65" s="3">
        <f t="shared" si="11"/>
        <v>28475030.44</v>
      </c>
      <c r="J65" s="3">
        <f t="shared" si="1"/>
        <v>5581807.56996574</v>
      </c>
      <c r="K65" s="3">
        <f t="shared" si="2"/>
        <v>2663564.23</v>
      </c>
      <c r="L65" s="3">
        <f t="shared" si="3"/>
        <v>59672726.7451692</v>
      </c>
      <c r="M65" s="3">
        <f t="shared" si="8"/>
        <v>8686670.59473755</v>
      </c>
      <c r="N65" s="3">
        <f t="shared" si="4"/>
        <v>1471152.69594912</v>
      </c>
      <c r="O65" s="3">
        <f t="shared" si="5"/>
        <v>32958729.4486947</v>
      </c>
      <c r="P65" s="3">
        <f t="shared" si="6"/>
        <v>15727466.725681</v>
      </c>
      <c r="Q65">
        <v>7</v>
      </c>
      <c r="R65">
        <v>4</v>
      </c>
      <c r="S65">
        <f>GDP!K78</f>
        <v>2752.1</v>
      </c>
      <c r="V65">
        <f t="shared" si="9"/>
        <v>-1.95504652315128</v>
      </c>
      <c r="X65" s="1">
        <f t="shared" si="10"/>
        <v>28.1160302191916</v>
      </c>
      <c r="Y65" s="2">
        <v>3047.633</v>
      </c>
      <c r="Z65" s="2">
        <v>211.916983089031</v>
      </c>
    </row>
    <row r="66" spans="1:26">
      <c r="A66" t="s">
        <v>106</v>
      </c>
      <c r="B66" s="3">
        <f>-CO2排放量!K79</f>
        <v>-193.378490473333</v>
      </c>
      <c r="C66" s="3">
        <f>就业人口!K79</f>
        <v>503.1</v>
      </c>
      <c r="D66" s="3">
        <f>资本存量!K79</f>
        <v>13642.0203455255</v>
      </c>
      <c r="E66" s="3">
        <f>能源消耗量!L79</f>
        <v>5711.9</v>
      </c>
      <c r="F66" s="3">
        <f t="shared" ref="F66:F81" si="12">S66-B66</f>
        <v>3105.14849047333</v>
      </c>
      <c r="G66" s="3">
        <f t="shared" ref="G66:I81" si="13">C66*C66</f>
        <v>253109.61</v>
      </c>
      <c r="H66" s="3">
        <f t="shared" si="13"/>
        <v>186104719.10773</v>
      </c>
      <c r="I66" s="3">
        <f t="shared" si="13"/>
        <v>32625801.61</v>
      </c>
      <c r="J66" s="3">
        <f t="shared" ref="J66:J81" si="14">C66*D66</f>
        <v>6863300.43583386</v>
      </c>
      <c r="K66" s="3">
        <f t="shared" ref="K66:K81" si="15">C66*E66</f>
        <v>2873656.89</v>
      </c>
      <c r="L66" s="3">
        <f t="shared" ref="L66:L81" si="16">D66*E66</f>
        <v>77921856.0116068</v>
      </c>
      <c r="M66" s="3">
        <f t="shared" si="8"/>
        <v>9641947.14788882</v>
      </c>
      <c r="N66" s="3">
        <f t="shared" ref="N66:N81" si="17">C66*F66</f>
        <v>1562200.20555713</v>
      </c>
      <c r="O66" s="3">
        <f t="shared" ref="O66:O81" si="18">D66*F66</f>
        <v>42360498.8829149</v>
      </c>
      <c r="P66" s="3">
        <f t="shared" ref="P66:P81" si="19">E66*F66</f>
        <v>17736297.6627346</v>
      </c>
      <c r="Q66">
        <v>7</v>
      </c>
      <c r="R66">
        <v>5</v>
      </c>
      <c r="S66">
        <f>GDP!K79</f>
        <v>2911.77</v>
      </c>
      <c r="V66">
        <f t="shared" si="9"/>
        <v>-1.8833212164113</v>
      </c>
      <c r="X66" s="1">
        <f t="shared" si="10"/>
        <v>27.0845300129809</v>
      </c>
      <c r="Y66" s="2">
        <v>3047.633</v>
      </c>
      <c r="Z66" s="2">
        <v>211.916983089031</v>
      </c>
    </row>
    <row r="67" spans="1:26">
      <c r="A67" t="s">
        <v>107</v>
      </c>
      <c r="B67" s="3">
        <f>-CO2排放量!K80</f>
        <v>-189.717234268763</v>
      </c>
      <c r="C67" s="3">
        <f>就业人口!K80</f>
        <v>509.4</v>
      </c>
      <c r="D67" s="3">
        <f>资本存量!K80</f>
        <v>16167.849692355</v>
      </c>
      <c r="E67" s="3">
        <f>能源消耗量!L80</f>
        <v>5787.5</v>
      </c>
      <c r="F67" s="3">
        <f t="shared" si="12"/>
        <v>3358.30723426876</v>
      </c>
      <c r="G67" s="3">
        <f t="shared" si="13"/>
        <v>259488.36</v>
      </c>
      <c r="H67" s="3">
        <f t="shared" si="13"/>
        <v>261399363.674584</v>
      </c>
      <c r="I67" s="3">
        <f t="shared" si="13"/>
        <v>33495156.25</v>
      </c>
      <c r="J67" s="3">
        <f t="shared" si="14"/>
        <v>8235902.63328564</v>
      </c>
      <c r="K67" s="3">
        <f t="shared" si="15"/>
        <v>2948152.5</v>
      </c>
      <c r="L67" s="3">
        <f t="shared" si="16"/>
        <v>93571430.0945046</v>
      </c>
      <c r="M67" s="3">
        <f t="shared" ref="M67:M81" si="20">F67*F67</f>
        <v>11278227.4797419</v>
      </c>
      <c r="N67" s="3">
        <f t="shared" si="17"/>
        <v>1710721.70513651</v>
      </c>
      <c r="O67" s="3">
        <f t="shared" si="18"/>
        <v>54296606.5844058</v>
      </c>
      <c r="P67" s="3">
        <f t="shared" si="19"/>
        <v>19436203.1183305</v>
      </c>
      <c r="Q67">
        <v>7</v>
      </c>
      <c r="R67">
        <v>6</v>
      </c>
      <c r="S67">
        <f>GDP!K80</f>
        <v>3168.59</v>
      </c>
      <c r="V67">
        <f t="shared" ref="V67:V81" si="21">-($U$2+$U$4*B67*(-1)+$U$8*C67+$U$10*D67+$U$12*E67+$U$6*S67)/($U$14+$U$16*S67+$U$18*C67+$U$20*D67+$U$22*E67+$U$6*B67*(-1))</f>
        <v>-1.86281612620254</v>
      </c>
      <c r="X67" s="1">
        <f t="shared" ref="X67:X81" si="22">-Y67/Z67*V67</f>
        <v>26.7896410018348</v>
      </c>
      <c r="Y67" s="2">
        <v>3047.633</v>
      </c>
      <c r="Z67" s="2">
        <v>211.916983089031</v>
      </c>
    </row>
    <row r="68" spans="1:26">
      <c r="A68" t="s">
        <v>108</v>
      </c>
      <c r="B68" s="3">
        <f>-CO2排放量!K81</f>
        <v>-226.23797925305</v>
      </c>
      <c r="C68" s="3">
        <f>就业人口!K81</f>
        <v>514.4</v>
      </c>
      <c r="D68" s="3">
        <f>资本存量!K81</f>
        <v>18429.1149218889</v>
      </c>
      <c r="E68" s="3">
        <f>能源消耗量!L81</f>
        <v>6798.2</v>
      </c>
      <c r="F68" s="3">
        <f t="shared" si="12"/>
        <v>3669.79797925305</v>
      </c>
      <c r="G68" s="3">
        <f t="shared" si="13"/>
        <v>264607.36</v>
      </c>
      <c r="H68" s="3">
        <f t="shared" si="13"/>
        <v>339632276.804189</v>
      </c>
      <c r="I68" s="3">
        <f t="shared" si="13"/>
        <v>46215523.24</v>
      </c>
      <c r="J68" s="3">
        <f t="shared" si="14"/>
        <v>9479936.71581966</v>
      </c>
      <c r="K68" s="3">
        <f t="shared" si="15"/>
        <v>3496994.08</v>
      </c>
      <c r="L68" s="3">
        <f t="shared" si="16"/>
        <v>125284809.061985</v>
      </c>
      <c r="M68" s="3">
        <f t="shared" si="20"/>
        <v>13467417.2085298</v>
      </c>
      <c r="N68" s="3">
        <f t="shared" si="17"/>
        <v>1887744.08052777</v>
      </c>
      <c r="O68" s="3">
        <f t="shared" si="18"/>
        <v>67631128.6997702</v>
      </c>
      <c r="P68" s="3">
        <f t="shared" si="19"/>
        <v>24948020.6225581</v>
      </c>
      <c r="Q68">
        <v>7</v>
      </c>
      <c r="R68">
        <v>7</v>
      </c>
      <c r="S68">
        <f>GDP!K81</f>
        <v>3443.56</v>
      </c>
      <c r="V68">
        <f t="shared" si="21"/>
        <v>-1.73692454880981</v>
      </c>
      <c r="X68" s="1">
        <f t="shared" si="22"/>
        <v>24.979161633492</v>
      </c>
      <c r="Y68" s="2">
        <v>3047.633</v>
      </c>
      <c r="Z68" s="2">
        <v>211.916983089031</v>
      </c>
    </row>
    <row r="69" spans="1:26">
      <c r="A69" t="s">
        <v>109</v>
      </c>
      <c r="B69" s="3">
        <f>-CO2排放量!K82</f>
        <v>-235.934728093333</v>
      </c>
      <c r="C69" s="3">
        <f>就业人口!K82</f>
        <v>518.36</v>
      </c>
      <c r="D69" s="3">
        <f>资本存量!K82</f>
        <v>19779.2637893876</v>
      </c>
      <c r="E69" s="3">
        <f>能源消耗量!L82</f>
        <v>7530.2</v>
      </c>
      <c r="F69" s="3">
        <f t="shared" si="12"/>
        <v>3746.14472809333</v>
      </c>
      <c r="G69" s="3">
        <f t="shared" si="13"/>
        <v>268697.0896</v>
      </c>
      <c r="H69" s="3">
        <f t="shared" si="13"/>
        <v>391219276.050179</v>
      </c>
      <c r="I69" s="3">
        <f t="shared" si="13"/>
        <v>56703912.04</v>
      </c>
      <c r="J69" s="3">
        <f t="shared" si="14"/>
        <v>10252779.177867</v>
      </c>
      <c r="K69" s="3">
        <f t="shared" si="15"/>
        <v>3903354.472</v>
      </c>
      <c r="L69" s="3">
        <f t="shared" si="16"/>
        <v>148941812.186846</v>
      </c>
      <c r="M69" s="3">
        <f t="shared" si="20"/>
        <v>14033600.3238215</v>
      </c>
      <c r="N69" s="3">
        <f t="shared" si="17"/>
        <v>1941851.58125446</v>
      </c>
      <c r="O69" s="3">
        <f t="shared" si="18"/>
        <v>74095984.7701817</v>
      </c>
      <c r="P69" s="3">
        <f t="shared" si="19"/>
        <v>28209219.0314884</v>
      </c>
      <c r="Q69">
        <v>7</v>
      </c>
      <c r="R69">
        <v>8</v>
      </c>
      <c r="S69">
        <f>GDP!K82</f>
        <v>3510.21</v>
      </c>
      <c r="V69">
        <f t="shared" si="21"/>
        <v>-1.66528727461395</v>
      </c>
      <c r="X69" s="1">
        <f t="shared" si="22"/>
        <v>23.9489274460903</v>
      </c>
      <c r="Y69" s="2">
        <v>3047.633</v>
      </c>
      <c r="Z69" s="2">
        <v>211.916983089031</v>
      </c>
    </row>
    <row r="70" spans="1:26">
      <c r="A70" t="s">
        <v>110</v>
      </c>
      <c r="B70" s="3">
        <f>-CO2排放量!K83</f>
        <v>-251.898741255556</v>
      </c>
      <c r="C70" s="3">
        <f>就业人口!K83</f>
        <v>523.3</v>
      </c>
      <c r="D70" s="3">
        <f>资本存量!K83</f>
        <v>20653.5511656064</v>
      </c>
      <c r="E70" s="3">
        <f>能源消耗量!L83</f>
        <v>8166.7</v>
      </c>
      <c r="F70" s="3">
        <f t="shared" si="12"/>
        <v>4000.37874125556</v>
      </c>
      <c r="G70" s="3">
        <f t="shared" si="13"/>
        <v>273842.89</v>
      </c>
      <c r="H70" s="3">
        <f t="shared" si="13"/>
        <v>426569175.750321</v>
      </c>
      <c r="I70" s="3">
        <f t="shared" si="13"/>
        <v>66694988.89</v>
      </c>
      <c r="J70" s="3">
        <f t="shared" si="14"/>
        <v>10808003.3249618</v>
      </c>
      <c r="K70" s="3">
        <f t="shared" si="15"/>
        <v>4273634.11</v>
      </c>
      <c r="L70" s="3">
        <f t="shared" si="16"/>
        <v>168671356.304158</v>
      </c>
      <c r="M70" s="3">
        <f t="shared" si="20"/>
        <v>16003030.0734894</v>
      </c>
      <c r="N70" s="3">
        <f t="shared" si="17"/>
        <v>2093398.19529903</v>
      </c>
      <c r="O70" s="3">
        <f t="shared" si="18"/>
        <v>82622027.0143257</v>
      </c>
      <c r="P70" s="3">
        <f t="shared" si="19"/>
        <v>32669893.0662117</v>
      </c>
      <c r="Q70">
        <v>7</v>
      </c>
      <c r="R70">
        <v>9</v>
      </c>
      <c r="S70">
        <f>GDP!K83</f>
        <v>3748.48</v>
      </c>
      <c r="V70">
        <f t="shared" si="21"/>
        <v>-1.61638789990914</v>
      </c>
      <c r="X70" s="1">
        <f t="shared" si="22"/>
        <v>23.245692878207</v>
      </c>
      <c r="Y70" s="2">
        <v>3047.633</v>
      </c>
      <c r="Z70" s="2">
        <v>211.916983089031</v>
      </c>
    </row>
    <row r="71" spans="1:26">
      <c r="A71" t="s">
        <v>111</v>
      </c>
      <c r="B71" s="3">
        <f>-CO2排放量!K84</f>
        <v>-259.512911477778</v>
      </c>
      <c r="C71" s="3">
        <f>就业人口!K84</f>
        <v>559.1</v>
      </c>
      <c r="D71" s="3">
        <f>资本存量!K84</f>
        <v>21577.0155537082</v>
      </c>
      <c r="E71" s="3">
        <f>能源消耗量!L84</f>
        <v>8581.8</v>
      </c>
      <c r="F71" s="3">
        <f t="shared" si="12"/>
        <v>4180.06291147778</v>
      </c>
      <c r="G71" s="3">
        <f t="shared" si="13"/>
        <v>312592.81</v>
      </c>
      <c r="H71" s="3">
        <f t="shared" si="13"/>
        <v>465567600.204964</v>
      </c>
      <c r="I71" s="3">
        <f t="shared" si="13"/>
        <v>73647291.24</v>
      </c>
      <c r="J71" s="3">
        <f t="shared" si="14"/>
        <v>12063709.3960782</v>
      </c>
      <c r="K71" s="3">
        <f t="shared" si="15"/>
        <v>4798084.38</v>
      </c>
      <c r="L71" s="3">
        <f t="shared" si="16"/>
        <v>185169632.078813</v>
      </c>
      <c r="M71" s="3">
        <f t="shared" si="20"/>
        <v>17472925.9439121</v>
      </c>
      <c r="N71" s="3">
        <f t="shared" si="17"/>
        <v>2337073.17380723</v>
      </c>
      <c r="O71" s="3">
        <f t="shared" si="18"/>
        <v>90193282.4564347</v>
      </c>
      <c r="P71" s="3">
        <f t="shared" si="19"/>
        <v>35872463.89372</v>
      </c>
      <c r="Q71">
        <v>7</v>
      </c>
      <c r="R71">
        <v>10</v>
      </c>
      <c r="S71">
        <f>GDP!K84</f>
        <v>3920.55</v>
      </c>
      <c r="V71">
        <f t="shared" si="21"/>
        <v>-1.58408333652243</v>
      </c>
      <c r="X71" s="1">
        <f t="shared" si="22"/>
        <v>22.7811125883556</v>
      </c>
      <c r="Y71" s="2">
        <v>3047.633</v>
      </c>
      <c r="Z71" s="2">
        <v>211.916983089031</v>
      </c>
    </row>
    <row r="72" spans="1:26">
      <c r="A72" t="s">
        <v>112</v>
      </c>
      <c r="B72" s="3">
        <f>-CO2排放量!K85</f>
        <v>-286.311098393333</v>
      </c>
      <c r="C72" s="3">
        <f>就业人口!K85</f>
        <v>1246.12</v>
      </c>
      <c r="D72" s="3">
        <f>资本存量!K85</f>
        <v>14155.5056261206</v>
      </c>
      <c r="E72" s="3">
        <f>能源消耗量!L85</f>
        <v>9474.5</v>
      </c>
      <c r="F72" s="3">
        <f t="shared" si="12"/>
        <v>6896.36109839333</v>
      </c>
      <c r="G72" s="3">
        <f t="shared" si="13"/>
        <v>1552815.0544</v>
      </c>
      <c r="H72" s="3">
        <f t="shared" si="13"/>
        <v>200378339.531131</v>
      </c>
      <c r="I72" s="3">
        <f t="shared" si="13"/>
        <v>89766150.25</v>
      </c>
      <c r="J72" s="3">
        <f t="shared" si="14"/>
        <v>17639458.6708214</v>
      </c>
      <c r="K72" s="3">
        <f t="shared" si="15"/>
        <v>11806363.94</v>
      </c>
      <c r="L72" s="3">
        <f t="shared" si="16"/>
        <v>134116338.054679</v>
      </c>
      <c r="M72" s="3">
        <f t="shared" si="20"/>
        <v>47559796.3994329</v>
      </c>
      <c r="N72" s="3">
        <f t="shared" si="17"/>
        <v>8593693.4919299</v>
      </c>
      <c r="O72" s="3">
        <f t="shared" si="18"/>
        <v>97621478.3280659</v>
      </c>
      <c r="P72" s="3">
        <f t="shared" si="19"/>
        <v>65339573.2267276</v>
      </c>
      <c r="Q72">
        <v>8</v>
      </c>
      <c r="R72">
        <v>1</v>
      </c>
      <c r="S72">
        <f>GDP!K85</f>
        <v>6610.05</v>
      </c>
      <c r="V72">
        <f t="shared" si="21"/>
        <v>-1.51476200317015</v>
      </c>
      <c r="X72" s="1">
        <f t="shared" si="22"/>
        <v>37.4596065048465</v>
      </c>
      <c r="Y72" s="2">
        <v>10189.32</v>
      </c>
      <c r="Z72" s="2">
        <v>412.027680326667</v>
      </c>
    </row>
    <row r="73" spans="1:26">
      <c r="A73" t="s">
        <v>113</v>
      </c>
      <c r="B73" s="3">
        <f>-CO2排放量!K86</f>
        <v>-333.440799646667</v>
      </c>
      <c r="C73" s="3">
        <f>就业人口!K86</f>
        <v>1257.85</v>
      </c>
      <c r="D73" s="3">
        <f>资本存量!K86</f>
        <v>18955.357086013</v>
      </c>
      <c r="E73" s="3">
        <f>能源消耗量!L86</f>
        <v>11293.7</v>
      </c>
      <c r="F73" s="3">
        <f t="shared" si="12"/>
        <v>7838.75079964667</v>
      </c>
      <c r="G73" s="3">
        <f t="shared" si="13"/>
        <v>1582186.6225</v>
      </c>
      <c r="H73" s="3">
        <f t="shared" si="13"/>
        <v>359305562.258263</v>
      </c>
      <c r="I73" s="3">
        <f t="shared" si="13"/>
        <v>127547659.69</v>
      </c>
      <c r="J73" s="3">
        <f t="shared" si="14"/>
        <v>23842995.9106415</v>
      </c>
      <c r="K73" s="3">
        <f t="shared" si="15"/>
        <v>14205780.545</v>
      </c>
      <c r="L73" s="3">
        <f t="shared" si="16"/>
        <v>214076116.322305</v>
      </c>
      <c r="M73" s="3">
        <f t="shared" si="20"/>
        <v>61446014.0989613</v>
      </c>
      <c r="N73" s="3">
        <f t="shared" si="17"/>
        <v>9859972.69333556</v>
      </c>
      <c r="O73" s="3">
        <f t="shared" si="18"/>
        <v>148586320.515573</v>
      </c>
      <c r="P73" s="3">
        <f t="shared" si="19"/>
        <v>88528499.9059696</v>
      </c>
      <c r="Q73">
        <v>8</v>
      </c>
      <c r="R73">
        <v>2</v>
      </c>
      <c r="S73">
        <f>GDP!K86</f>
        <v>7505.31</v>
      </c>
      <c r="V73">
        <f t="shared" si="21"/>
        <v>-1.43609071445022</v>
      </c>
      <c r="X73" s="1">
        <f t="shared" si="22"/>
        <v>35.5140893130303</v>
      </c>
      <c r="Y73" s="2">
        <v>10189.32</v>
      </c>
      <c r="Z73" s="2">
        <v>412.027680326667</v>
      </c>
    </row>
    <row r="74" spans="1:26">
      <c r="A74" t="s">
        <v>114</v>
      </c>
      <c r="B74" s="3">
        <f>-CO2排放量!K87</f>
        <v>-336.336771553333</v>
      </c>
      <c r="C74" s="3">
        <f>就业人口!K87</f>
        <v>1271.9</v>
      </c>
      <c r="D74" s="3">
        <f>资本存量!K87</f>
        <v>24867.9471057558</v>
      </c>
      <c r="E74" s="3">
        <f>能源消耗量!L87</f>
        <v>13631.8</v>
      </c>
      <c r="F74" s="3">
        <f t="shared" si="12"/>
        <v>8780.17677155333</v>
      </c>
      <c r="G74" s="3">
        <f t="shared" si="13"/>
        <v>1617729.61</v>
      </c>
      <c r="H74" s="3">
        <f t="shared" si="13"/>
        <v>618414793.254666</v>
      </c>
      <c r="I74" s="3">
        <f t="shared" si="13"/>
        <v>185825971.24</v>
      </c>
      <c r="J74" s="3">
        <f t="shared" si="14"/>
        <v>31629541.9238108</v>
      </c>
      <c r="K74" s="3">
        <f t="shared" si="15"/>
        <v>17338286.42</v>
      </c>
      <c r="L74" s="3">
        <f t="shared" si="16"/>
        <v>338994881.356241</v>
      </c>
      <c r="M74" s="3">
        <f t="shared" si="20"/>
        <v>77091504.1397247</v>
      </c>
      <c r="N74" s="3">
        <f t="shared" si="17"/>
        <v>11167506.8357387</v>
      </c>
      <c r="O74" s="3">
        <f t="shared" si="18"/>
        <v>218344971.534174</v>
      </c>
      <c r="P74" s="3">
        <f t="shared" si="19"/>
        <v>119689613.714461</v>
      </c>
      <c r="Q74">
        <v>8</v>
      </c>
      <c r="R74">
        <v>3</v>
      </c>
      <c r="S74">
        <f>GDP!K87</f>
        <v>8443.84</v>
      </c>
      <c r="V74">
        <f t="shared" si="21"/>
        <v>-1.36364675777102</v>
      </c>
      <c r="X74" s="1">
        <f t="shared" si="22"/>
        <v>33.7225721603834</v>
      </c>
      <c r="Y74" s="2">
        <v>10189.32</v>
      </c>
      <c r="Z74" s="2">
        <v>412.027680326667</v>
      </c>
    </row>
    <row r="75" spans="1:26">
      <c r="A75" t="s">
        <v>115</v>
      </c>
      <c r="B75" s="3">
        <f>-CO2排放量!K88</f>
        <v>-366.259665046667</v>
      </c>
      <c r="C75" s="3">
        <f>就业人口!K88</f>
        <v>1276.21</v>
      </c>
      <c r="D75" s="3">
        <f>资本存量!K88</f>
        <v>31928.3660836032</v>
      </c>
      <c r="E75" s="3">
        <f>能源消耗量!L88</f>
        <v>14926.1</v>
      </c>
      <c r="F75" s="3">
        <f t="shared" si="12"/>
        <v>9639.71966504667</v>
      </c>
      <c r="G75" s="3">
        <f t="shared" si="13"/>
        <v>1628711.9641</v>
      </c>
      <c r="H75" s="3">
        <f t="shared" si="13"/>
        <v>1019420560.76858</v>
      </c>
      <c r="I75" s="3">
        <f t="shared" si="13"/>
        <v>222788461.21</v>
      </c>
      <c r="J75" s="3">
        <f t="shared" si="14"/>
        <v>40747300.0795553</v>
      </c>
      <c r="K75" s="3">
        <f t="shared" si="15"/>
        <v>19048838.081</v>
      </c>
      <c r="L75" s="3">
        <f t="shared" si="16"/>
        <v>476565985.00047</v>
      </c>
      <c r="M75" s="3">
        <f t="shared" si="20"/>
        <v>92924195.2206874</v>
      </c>
      <c r="N75" s="3">
        <f t="shared" si="17"/>
        <v>12302306.6337292</v>
      </c>
      <c r="O75" s="3">
        <f t="shared" si="18"/>
        <v>307780498.408919</v>
      </c>
      <c r="P75" s="3">
        <f t="shared" si="19"/>
        <v>143883419.692453</v>
      </c>
      <c r="Q75">
        <v>8</v>
      </c>
      <c r="R75">
        <v>4</v>
      </c>
      <c r="S75">
        <f>GDP!K88</f>
        <v>9273.46</v>
      </c>
      <c r="V75">
        <f t="shared" si="21"/>
        <v>-1.33119807052031</v>
      </c>
      <c r="X75" s="1">
        <f t="shared" si="22"/>
        <v>32.9201259322192</v>
      </c>
      <c r="Y75" s="2">
        <v>10189.32</v>
      </c>
      <c r="Z75" s="2">
        <v>412.027680326667</v>
      </c>
    </row>
    <row r="76" spans="1:26">
      <c r="A76" t="s">
        <v>116</v>
      </c>
      <c r="B76" s="3">
        <f>-CO2排放量!K89</f>
        <v>-379.091800073333</v>
      </c>
      <c r="C76" s="3">
        <f>就业人口!K89</f>
        <v>1305.42</v>
      </c>
      <c r="D76" s="3">
        <f>资本存量!K89</f>
        <v>39676.2735395773</v>
      </c>
      <c r="E76" s="3">
        <f>能源消耗量!L89</f>
        <v>15666.1</v>
      </c>
      <c r="F76" s="3">
        <f t="shared" si="12"/>
        <v>9703.89180007333</v>
      </c>
      <c r="G76" s="3">
        <f t="shared" si="13"/>
        <v>1704121.3764</v>
      </c>
      <c r="H76" s="3">
        <f t="shared" si="13"/>
        <v>1574206681.98736</v>
      </c>
      <c r="I76" s="3">
        <f t="shared" si="13"/>
        <v>245426689.21</v>
      </c>
      <c r="J76" s="3">
        <f t="shared" si="14"/>
        <v>51794201.004035</v>
      </c>
      <c r="K76" s="3">
        <f t="shared" si="15"/>
        <v>20450840.262</v>
      </c>
      <c r="L76" s="3">
        <f t="shared" si="16"/>
        <v>621572468.898372</v>
      </c>
      <c r="M76" s="3">
        <f t="shared" si="20"/>
        <v>94165516.0675305</v>
      </c>
      <c r="N76" s="3">
        <f t="shared" si="17"/>
        <v>12667654.4336517</v>
      </c>
      <c r="O76" s="3">
        <f t="shared" si="18"/>
        <v>385014265.458171</v>
      </c>
      <c r="P76" s="3">
        <f t="shared" si="19"/>
        <v>152022139.329129</v>
      </c>
      <c r="Q76">
        <v>8</v>
      </c>
      <c r="R76">
        <v>5</v>
      </c>
      <c r="S76">
        <f>GDP!K89</f>
        <v>9324.8</v>
      </c>
      <c r="V76">
        <f t="shared" si="21"/>
        <v>-1.31027999955013</v>
      </c>
      <c r="X76" s="1">
        <f t="shared" si="22"/>
        <v>32.4028283595684</v>
      </c>
      <c r="Y76" s="2">
        <v>10189.32</v>
      </c>
      <c r="Z76" s="2">
        <v>412.027680326667</v>
      </c>
    </row>
    <row r="77" spans="1:26">
      <c r="A77" t="s">
        <v>117</v>
      </c>
      <c r="B77" s="3">
        <f>-CO2排放量!K90</f>
        <v>-410.853264313333</v>
      </c>
      <c r="C77" s="3">
        <f>就业人口!K90</f>
        <v>1332.66</v>
      </c>
      <c r="D77" s="3">
        <f>资本存量!K90</f>
        <v>46154.8811797779</v>
      </c>
      <c r="E77" s="3">
        <f>能源消耗量!L90</f>
        <v>16302.2</v>
      </c>
      <c r="F77" s="3">
        <f t="shared" si="12"/>
        <v>10060.5532643133</v>
      </c>
      <c r="G77" s="3">
        <f t="shared" si="13"/>
        <v>1775982.6756</v>
      </c>
      <c r="H77" s="3">
        <f t="shared" si="13"/>
        <v>2130273056.71941</v>
      </c>
      <c r="I77" s="3">
        <f t="shared" si="13"/>
        <v>265761724.84</v>
      </c>
      <c r="J77" s="3">
        <f t="shared" si="14"/>
        <v>61508763.9530428</v>
      </c>
      <c r="K77" s="3">
        <f t="shared" si="15"/>
        <v>21725289.852</v>
      </c>
      <c r="L77" s="3">
        <f t="shared" si="16"/>
        <v>752426103.968975</v>
      </c>
      <c r="M77" s="3">
        <f t="shared" si="20"/>
        <v>101214731.984086</v>
      </c>
      <c r="N77" s="3">
        <f t="shared" si="17"/>
        <v>13407296.9132198</v>
      </c>
      <c r="O77" s="3">
        <f t="shared" si="18"/>
        <v>464343640.517208</v>
      </c>
      <c r="P77" s="3">
        <f t="shared" si="19"/>
        <v>164009151.425489</v>
      </c>
      <c r="Q77">
        <v>8</v>
      </c>
      <c r="R77">
        <v>6</v>
      </c>
      <c r="S77">
        <f>GDP!K90</f>
        <v>9649.7</v>
      </c>
      <c r="V77">
        <f t="shared" si="21"/>
        <v>-1.29520304140608</v>
      </c>
      <c r="X77" s="1">
        <f t="shared" si="22"/>
        <v>32.0299797416443</v>
      </c>
      <c r="Y77" s="2">
        <v>10189.32</v>
      </c>
      <c r="Z77" s="2">
        <v>412.027680326667</v>
      </c>
    </row>
    <row r="78" spans="1:26">
      <c r="A78" t="s">
        <v>118</v>
      </c>
      <c r="B78" s="3">
        <f>-CO2排放量!K91</f>
        <v>-452.2648373</v>
      </c>
      <c r="C78" s="3">
        <f>就业人口!K91</f>
        <v>1349.79</v>
      </c>
      <c r="D78" s="3">
        <f>资本存量!K91</f>
        <v>53813.1302865192</v>
      </c>
      <c r="E78" s="3">
        <f>能源消耗量!L91</f>
        <v>17386.3</v>
      </c>
      <c r="F78" s="3">
        <f t="shared" si="12"/>
        <v>11334.2248373</v>
      </c>
      <c r="G78" s="3">
        <f t="shared" si="13"/>
        <v>1821933.0441</v>
      </c>
      <c r="H78" s="3">
        <f t="shared" si="13"/>
        <v>2895852991.23389</v>
      </c>
      <c r="I78" s="3">
        <f t="shared" si="13"/>
        <v>302283427.69</v>
      </c>
      <c r="J78" s="3">
        <f t="shared" si="14"/>
        <v>72636425.1294408</v>
      </c>
      <c r="K78" s="3">
        <f t="shared" si="15"/>
        <v>23467853.877</v>
      </c>
      <c r="L78" s="3">
        <f t="shared" si="16"/>
        <v>935611227.100509</v>
      </c>
      <c r="M78" s="3">
        <f t="shared" si="20"/>
        <v>128464652.662468</v>
      </c>
      <c r="N78" s="3">
        <f t="shared" si="17"/>
        <v>15298823.3431392</v>
      </c>
      <c r="O78" s="3">
        <f t="shared" si="18"/>
        <v>609930117.866327</v>
      </c>
      <c r="P78" s="3">
        <f t="shared" si="19"/>
        <v>197060233.288749</v>
      </c>
      <c r="Q78">
        <v>8</v>
      </c>
      <c r="R78">
        <v>7</v>
      </c>
      <c r="S78">
        <f>GDP!K91</f>
        <v>10881.96</v>
      </c>
      <c r="V78">
        <f t="shared" si="21"/>
        <v>-1.27681066763541</v>
      </c>
      <c r="X78" s="1">
        <f t="shared" si="22"/>
        <v>31.5751418973509</v>
      </c>
      <c r="Y78" s="2">
        <v>10189.32</v>
      </c>
      <c r="Z78" s="2">
        <v>412.027680326667</v>
      </c>
    </row>
    <row r="79" spans="1:26">
      <c r="A79" t="s">
        <v>119</v>
      </c>
      <c r="B79" s="3">
        <f>-CO2排放量!K92</f>
        <v>-480.946054513333</v>
      </c>
      <c r="C79" s="3">
        <f>就业人口!K92</f>
        <v>1343.95</v>
      </c>
      <c r="D79" s="3">
        <f>资本存量!K92</f>
        <v>58236.1579386534</v>
      </c>
      <c r="E79" s="3">
        <f>能源消耗量!L92</f>
        <v>17694</v>
      </c>
      <c r="F79" s="3">
        <f t="shared" si="12"/>
        <v>13290.3360545133</v>
      </c>
      <c r="G79" s="3">
        <f t="shared" si="13"/>
        <v>1806201.6025</v>
      </c>
      <c r="H79" s="3">
        <f t="shared" si="13"/>
        <v>3391450091.45578</v>
      </c>
      <c r="I79" s="3">
        <f t="shared" si="13"/>
        <v>313077636</v>
      </c>
      <c r="J79" s="3">
        <f t="shared" si="14"/>
        <v>78266484.4616532</v>
      </c>
      <c r="K79" s="3">
        <f t="shared" si="15"/>
        <v>23779851.3</v>
      </c>
      <c r="L79" s="3">
        <f t="shared" si="16"/>
        <v>1030430578.56653</v>
      </c>
      <c r="M79" s="3">
        <f t="shared" si="20"/>
        <v>176633032.441897</v>
      </c>
      <c r="N79" s="3">
        <f t="shared" si="17"/>
        <v>17861547.1404632</v>
      </c>
      <c r="O79" s="3">
        <f t="shared" si="18"/>
        <v>773978109.528418</v>
      </c>
      <c r="P79" s="3">
        <f t="shared" si="19"/>
        <v>235159206.148559</v>
      </c>
      <c r="Q79">
        <v>8</v>
      </c>
      <c r="R79">
        <v>8</v>
      </c>
      <c r="S79">
        <f>GDP!K92</f>
        <v>12809.39</v>
      </c>
      <c r="V79">
        <f t="shared" si="21"/>
        <v>-1.27479326674812</v>
      </c>
      <c r="X79" s="1">
        <f t="shared" si="22"/>
        <v>31.5252521831632</v>
      </c>
      <c r="Y79" s="2">
        <v>10189.32</v>
      </c>
      <c r="Z79" s="2">
        <v>412.027680326667</v>
      </c>
    </row>
    <row r="80" spans="1:26">
      <c r="A80" t="s">
        <v>120</v>
      </c>
      <c r="B80" s="3">
        <f>-CO2排放量!K93</f>
        <v>-519.305165726667</v>
      </c>
      <c r="C80" s="3">
        <f>就业人口!K93</f>
        <v>1355.06</v>
      </c>
      <c r="D80" s="3">
        <f>资本存量!K93</f>
        <v>63004.5787154017</v>
      </c>
      <c r="E80" s="3">
        <f>能源消耗量!L93</f>
        <v>18489.8</v>
      </c>
      <c r="F80" s="3">
        <f t="shared" si="12"/>
        <v>14116.4151657267</v>
      </c>
      <c r="G80" s="3">
        <f t="shared" si="13"/>
        <v>1836187.6036</v>
      </c>
      <c r="H80" s="3">
        <f t="shared" si="13"/>
        <v>3969576939.10525</v>
      </c>
      <c r="I80" s="3">
        <f t="shared" si="13"/>
        <v>341872704.04</v>
      </c>
      <c r="J80" s="3">
        <f t="shared" si="14"/>
        <v>85374984.4340923</v>
      </c>
      <c r="K80" s="3">
        <f t="shared" si="15"/>
        <v>25054788.388</v>
      </c>
      <c r="L80" s="3">
        <f t="shared" si="16"/>
        <v>1164942059.53203</v>
      </c>
      <c r="M80" s="3">
        <f t="shared" si="20"/>
        <v>199273177.131158</v>
      </c>
      <c r="N80" s="3">
        <f t="shared" si="17"/>
        <v>19128589.5344696</v>
      </c>
      <c r="O80" s="3">
        <f t="shared" si="18"/>
        <v>889398790.488317</v>
      </c>
      <c r="P80" s="3">
        <f t="shared" si="19"/>
        <v>261009693.131253</v>
      </c>
      <c r="Q80">
        <v>8</v>
      </c>
      <c r="R80">
        <v>9</v>
      </c>
      <c r="S80">
        <f>GDP!K93</f>
        <v>13597.11</v>
      </c>
      <c r="V80">
        <f t="shared" si="21"/>
        <v>-1.26309088098491</v>
      </c>
      <c r="X80" s="1">
        <f t="shared" si="22"/>
        <v>31.2358557202599</v>
      </c>
      <c r="Y80" s="2">
        <v>10189.32</v>
      </c>
      <c r="Z80" s="2">
        <v>412.027680326667</v>
      </c>
    </row>
    <row r="81" spans="1:26">
      <c r="A81" t="s">
        <v>121</v>
      </c>
      <c r="B81" s="3">
        <f>-CO2排放量!K94</f>
        <v>-555.4673467</v>
      </c>
      <c r="C81" s="3">
        <f>就业人口!K94</f>
        <v>1369.07</v>
      </c>
      <c r="D81" s="3">
        <f>资本存量!K94</f>
        <v>69449.2040369872</v>
      </c>
      <c r="E81" s="3">
        <f>能源消耗量!L94</f>
        <v>18981.8</v>
      </c>
      <c r="F81" s="3">
        <f t="shared" si="12"/>
        <v>14353.0473467</v>
      </c>
      <c r="G81" s="3">
        <f t="shared" si="13"/>
        <v>1874352.6649</v>
      </c>
      <c r="H81" s="3">
        <f t="shared" si="13"/>
        <v>4823191941.37108</v>
      </c>
      <c r="I81" s="3">
        <f t="shared" si="13"/>
        <v>360308731.24</v>
      </c>
      <c r="J81" s="3">
        <f t="shared" si="14"/>
        <v>95080821.7709181</v>
      </c>
      <c r="K81" s="3">
        <f t="shared" si="15"/>
        <v>25987412.926</v>
      </c>
      <c r="L81" s="3">
        <f t="shared" si="16"/>
        <v>1318270901.18928</v>
      </c>
      <c r="M81" s="3">
        <f t="shared" si="20"/>
        <v>206009968.136612</v>
      </c>
      <c r="N81" s="3">
        <f t="shared" si="17"/>
        <v>19650326.5309466</v>
      </c>
      <c r="O81" s="3">
        <f t="shared" si="18"/>
        <v>996807713.733506</v>
      </c>
      <c r="P81" s="3">
        <f t="shared" si="19"/>
        <v>272446674.12559</v>
      </c>
      <c r="Q81">
        <v>8</v>
      </c>
      <c r="R81">
        <v>10</v>
      </c>
      <c r="S81">
        <f>GDP!K94</f>
        <v>13797.58</v>
      </c>
      <c r="V81">
        <f t="shared" si="21"/>
        <v>-1.25392463502448</v>
      </c>
      <c r="X81" s="1">
        <f t="shared" si="22"/>
        <v>31.0091772281367</v>
      </c>
      <c r="Y81" s="2">
        <v>10189.32</v>
      </c>
      <c r="Z81" s="2">
        <v>412.027680326667</v>
      </c>
    </row>
    <row r="82" spans="5:5">
      <c r="E82" s="3"/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GDP</vt:lpstr>
      <vt:lpstr>资本存量</vt:lpstr>
      <vt:lpstr>就业人口</vt:lpstr>
      <vt:lpstr>能源消耗量</vt:lpstr>
      <vt:lpstr>CO2排放量</vt:lpstr>
      <vt:lpstr>用于回归的形式</vt:lpstr>
      <vt:lpstr>线性规划法进行测算</vt:lpstr>
      <vt:lpstr>用于回归的形式 (2)</vt:lpstr>
      <vt:lpstr>Sheet1</vt:lpstr>
      <vt:lpstr>用于回归的形式 (3)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wyy</dc:creator>
  <cp:lastModifiedBy>折枝</cp:lastModifiedBy>
  <dcterms:created xsi:type="dcterms:W3CDTF">2015-06-05T18:19:00Z</dcterms:created>
  <dcterms:modified xsi:type="dcterms:W3CDTF">2023-12-11T13:59:03Z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f58ee2f3</vt:lpwstr>
  </property>
  <property fmtid="{D5CDD505-2E9C-101B-9397-08002B2CF9AE}" pid="3" name="KSOProductBuildVer">
    <vt:lpwstr>2052-12.1.0.15712</vt:lpwstr>
  </property>
  <property fmtid="{D5CDD505-2E9C-101B-9397-08002B2CF9AE}" pid="4" name="ICV">
    <vt:lpwstr>5912FEE2FEF44176B2A25F73CB92AA1A_12</vt:lpwstr>
  </property>
</Properties>
</file>