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wyy\Desktop\管科2023\"/>
    </mc:Choice>
  </mc:AlternateContent>
  <xr:revisionPtr revIDLastSave="0" documentId="13_ncr:1_{ADC3343E-5032-4514-B0A4-11E1147A9977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GDP" sheetId="1" r:id="rId1"/>
    <sheet name="资本存量" sheetId="2" r:id="rId2"/>
    <sheet name="就业人口" sheetId="3" r:id="rId3"/>
    <sheet name="能源消耗量" sheetId="4" r:id="rId4"/>
    <sheet name="CO2排放量" sheetId="5" r:id="rId5"/>
    <sheet name="OLS回归结果" sheetId="6" r:id="rId6"/>
    <sheet name="随即前沿分析结果" sheetId="10" r:id="rId7"/>
    <sheet name="影子价格结果" sheetId="13" r:id="rId8"/>
  </sheets>
  <definedNames>
    <definedName name="solver_eng" localSheetId="5" hidden="1">1</definedName>
    <definedName name="solver_eng" localSheetId="6" hidden="1">1</definedName>
    <definedName name="solver_neg" localSheetId="5" hidden="1">1</definedName>
    <definedName name="solver_neg" localSheetId="6" hidden="1">1</definedName>
    <definedName name="solver_num" localSheetId="5" hidden="1">0</definedName>
    <definedName name="solver_num" localSheetId="6" hidden="1">0</definedName>
    <definedName name="solver_opt" localSheetId="5" hidden="1">OLS回归结果!$Q$1</definedName>
    <definedName name="solver_opt" localSheetId="6" hidden="1">随即前沿分析结果!$Q$1</definedName>
    <definedName name="solver_typ" localSheetId="5" hidden="1">1</definedName>
    <definedName name="solver_typ" localSheetId="6" hidden="1">1</definedName>
    <definedName name="solver_val" localSheetId="5" hidden="1">0</definedName>
    <definedName name="solver_val" localSheetId="6" hidden="1">0</definedName>
    <definedName name="solver_ver" localSheetId="5" hidden="1">3</definedName>
    <definedName name="solver_ver" localSheetId="6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3" l="1"/>
  <c r="J7" i="13"/>
  <c r="K11" i="13"/>
  <c r="J11" i="13"/>
  <c r="L11" i="13" s="1"/>
  <c r="K10" i="13"/>
  <c r="J10" i="13"/>
  <c r="L10" i="13" s="1"/>
  <c r="K9" i="13"/>
  <c r="J9" i="13"/>
  <c r="L9" i="13" s="1"/>
  <c r="K8" i="13"/>
  <c r="J8" i="13"/>
  <c r="L8" i="13" s="1"/>
  <c r="L6" i="13"/>
  <c r="K6" i="13"/>
  <c r="J6" i="13"/>
  <c r="K5" i="13"/>
  <c r="J5" i="13"/>
  <c r="L5" i="13" s="1"/>
  <c r="K4" i="13"/>
  <c r="J4" i="13"/>
  <c r="L4" i="13" s="1"/>
  <c r="L3" i="13"/>
  <c r="K3" i="13"/>
  <c r="J3" i="13"/>
  <c r="L2" i="13"/>
  <c r="K2" i="13"/>
  <c r="J2" i="13"/>
  <c r="L7" i="13" l="1"/>
  <c r="X2" i="10"/>
  <c r="V4" i="10"/>
  <c r="S2" i="10"/>
  <c r="V2" i="10" s="1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F70" i="10" s="1"/>
  <c r="B71" i="10"/>
  <c r="B72" i="10"/>
  <c r="B73" i="10"/>
  <c r="B74" i="10"/>
  <c r="B75" i="10"/>
  <c r="B76" i="10"/>
  <c r="B77" i="10"/>
  <c r="B78" i="10"/>
  <c r="F78" i="10" s="1"/>
  <c r="B79" i="10"/>
  <c r="B80" i="10"/>
  <c r="B81" i="10"/>
  <c r="B2" i="10"/>
  <c r="S81" i="10"/>
  <c r="E81" i="10"/>
  <c r="D81" i="10"/>
  <c r="C81" i="10"/>
  <c r="S80" i="10"/>
  <c r="G80" i="10"/>
  <c r="E80" i="10"/>
  <c r="I80" i="10" s="1"/>
  <c r="D80" i="10"/>
  <c r="C80" i="10"/>
  <c r="S79" i="10"/>
  <c r="E79" i="10"/>
  <c r="I79" i="10" s="1"/>
  <c r="D79" i="10"/>
  <c r="H79" i="10" s="1"/>
  <c r="C79" i="10"/>
  <c r="G79" i="10" s="1"/>
  <c r="S78" i="10"/>
  <c r="H78" i="10"/>
  <c r="E78" i="10"/>
  <c r="I78" i="10" s="1"/>
  <c r="D78" i="10"/>
  <c r="C78" i="10"/>
  <c r="K78" i="10" s="1"/>
  <c r="S77" i="10"/>
  <c r="E77" i="10"/>
  <c r="D77" i="10"/>
  <c r="L77" i="10" s="1"/>
  <c r="C77" i="10"/>
  <c r="K77" i="10" s="1"/>
  <c r="S76" i="10"/>
  <c r="E76" i="10"/>
  <c r="I76" i="10" s="1"/>
  <c r="D76" i="10"/>
  <c r="C76" i="10"/>
  <c r="G76" i="10" s="1"/>
  <c r="S75" i="10"/>
  <c r="E75" i="10"/>
  <c r="I75" i="10" s="1"/>
  <c r="D75" i="10"/>
  <c r="H75" i="10" s="1"/>
  <c r="C75" i="10"/>
  <c r="S74" i="10"/>
  <c r="E74" i="10"/>
  <c r="I74" i="10" s="1"/>
  <c r="D74" i="10"/>
  <c r="H74" i="10" s="1"/>
  <c r="C74" i="10"/>
  <c r="K74" i="10" s="1"/>
  <c r="S73" i="10"/>
  <c r="F73" i="10" s="1"/>
  <c r="M73" i="10" s="1"/>
  <c r="E73" i="10"/>
  <c r="D73" i="10"/>
  <c r="C73" i="10"/>
  <c r="S72" i="10"/>
  <c r="E72" i="10"/>
  <c r="I72" i="10" s="1"/>
  <c r="D72" i="10"/>
  <c r="L72" i="10" s="1"/>
  <c r="C72" i="10"/>
  <c r="K72" i="10" s="1"/>
  <c r="S71" i="10"/>
  <c r="E71" i="10"/>
  <c r="I71" i="10" s="1"/>
  <c r="D71" i="10"/>
  <c r="H71" i="10" s="1"/>
  <c r="C71" i="10"/>
  <c r="G71" i="10" s="1"/>
  <c r="S70" i="10"/>
  <c r="E70" i="10"/>
  <c r="I70" i="10" s="1"/>
  <c r="D70" i="10"/>
  <c r="H70" i="10" s="1"/>
  <c r="C70" i="10"/>
  <c r="S69" i="10"/>
  <c r="E69" i="10"/>
  <c r="D69" i="10"/>
  <c r="C69" i="10"/>
  <c r="S68" i="10"/>
  <c r="E68" i="10"/>
  <c r="I68" i="10" s="1"/>
  <c r="D68" i="10"/>
  <c r="L68" i="10" s="1"/>
  <c r="C68" i="10"/>
  <c r="S67" i="10"/>
  <c r="E67" i="10"/>
  <c r="I67" i="10" s="1"/>
  <c r="D67" i="10"/>
  <c r="H67" i="10" s="1"/>
  <c r="C67" i="10"/>
  <c r="G67" i="10" s="1"/>
  <c r="S66" i="10"/>
  <c r="E66" i="10"/>
  <c r="I66" i="10" s="1"/>
  <c r="D66" i="10"/>
  <c r="H66" i="10" s="1"/>
  <c r="C66" i="10"/>
  <c r="S65" i="10"/>
  <c r="F65" i="10" s="1"/>
  <c r="M65" i="10" s="1"/>
  <c r="E65" i="10"/>
  <c r="D65" i="10"/>
  <c r="C65" i="10"/>
  <c r="S64" i="10"/>
  <c r="E64" i="10"/>
  <c r="I64" i="10" s="1"/>
  <c r="D64" i="10"/>
  <c r="C64" i="10"/>
  <c r="S63" i="10"/>
  <c r="E63" i="10"/>
  <c r="I63" i="10" s="1"/>
  <c r="D63" i="10"/>
  <c r="H63" i="10" s="1"/>
  <c r="C63" i="10"/>
  <c r="G63" i="10" s="1"/>
  <c r="S62" i="10"/>
  <c r="K62" i="10"/>
  <c r="E62" i="10"/>
  <c r="I62" i="10" s="1"/>
  <c r="D62" i="10"/>
  <c r="H62" i="10" s="1"/>
  <c r="C62" i="10"/>
  <c r="S61" i="10"/>
  <c r="F61" i="10" s="1"/>
  <c r="M61" i="10" s="1"/>
  <c r="E61" i="10"/>
  <c r="D61" i="10"/>
  <c r="C61" i="10"/>
  <c r="K61" i="10" s="1"/>
  <c r="S60" i="10"/>
  <c r="F60" i="10" s="1"/>
  <c r="M60" i="10" s="1"/>
  <c r="E60" i="10"/>
  <c r="I60" i="10" s="1"/>
  <c r="D60" i="10"/>
  <c r="C60" i="10"/>
  <c r="S59" i="10"/>
  <c r="E59" i="10"/>
  <c r="I59" i="10" s="1"/>
  <c r="D59" i="10"/>
  <c r="H59" i="10" s="1"/>
  <c r="C59" i="10"/>
  <c r="G59" i="10" s="1"/>
  <c r="S58" i="10"/>
  <c r="E58" i="10"/>
  <c r="I58" i="10" s="1"/>
  <c r="D58" i="10"/>
  <c r="H58" i="10" s="1"/>
  <c r="C58" i="10"/>
  <c r="J58" i="10" s="1"/>
  <c r="S57" i="10"/>
  <c r="E57" i="10"/>
  <c r="D57" i="10"/>
  <c r="C57" i="10"/>
  <c r="S56" i="10"/>
  <c r="E56" i="10"/>
  <c r="I56" i="10" s="1"/>
  <c r="D56" i="10"/>
  <c r="C56" i="10"/>
  <c r="S55" i="10"/>
  <c r="E55" i="10"/>
  <c r="I55" i="10" s="1"/>
  <c r="D55" i="10"/>
  <c r="H55" i="10" s="1"/>
  <c r="C55" i="10"/>
  <c r="G55" i="10" s="1"/>
  <c r="S54" i="10"/>
  <c r="E54" i="10"/>
  <c r="I54" i="10" s="1"/>
  <c r="D54" i="10"/>
  <c r="H54" i="10" s="1"/>
  <c r="C54" i="10"/>
  <c r="S53" i="10"/>
  <c r="L53" i="10"/>
  <c r="E53" i="10"/>
  <c r="D53" i="10"/>
  <c r="C53" i="10"/>
  <c r="S52" i="10"/>
  <c r="F52" i="10" s="1"/>
  <c r="M52" i="10" s="1"/>
  <c r="E52" i="10"/>
  <c r="I52" i="10" s="1"/>
  <c r="D52" i="10"/>
  <c r="H52" i="10" s="1"/>
  <c r="C52" i="10"/>
  <c r="S51" i="10"/>
  <c r="E51" i="10"/>
  <c r="I51" i="10" s="1"/>
  <c r="D51" i="10"/>
  <c r="H51" i="10" s="1"/>
  <c r="C51" i="10"/>
  <c r="G51" i="10" s="1"/>
  <c r="S50" i="10"/>
  <c r="E50" i="10"/>
  <c r="I50" i="10" s="1"/>
  <c r="D50" i="10"/>
  <c r="H50" i="10" s="1"/>
  <c r="C50" i="10"/>
  <c r="S49" i="10"/>
  <c r="E49" i="10"/>
  <c r="D49" i="10"/>
  <c r="C49" i="10"/>
  <c r="G49" i="10" s="1"/>
  <c r="S48" i="10"/>
  <c r="E48" i="10"/>
  <c r="I48" i="10" s="1"/>
  <c r="D48" i="10"/>
  <c r="C48" i="10"/>
  <c r="S47" i="10"/>
  <c r="E47" i="10"/>
  <c r="I47" i="10" s="1"/>
  <c r="D47" i="10"/>
  <c r="C47" i="10"/>
  <c r="G47" i="10" s="1"/>
  <c r="S46" i="10"/>
  <c r="E46" i="10"/>
  <c r="I46" i="10" s="1"/>
  <c r="D46" i="10"/>
  <c r="H46" i="10" s="1"/>
  <c r="C46" i="10"/>
  <c r="G46" i="10" s="1"/>
  <c r="S45" i="10"/>
  <c r="E45" i="10"/>
  <c r="I45" i="10" s="1"/>
  <c r="D45" i="10"/>
  <c r="C45" i="10"/>
  <c r="G45" i="10" s="1"/>
  <c r="S44" i="10"/>
  <c r="F44" i="10" s="1"/>
  <c r="E44" i="10"/>
  <c r="I44" i="10" s="1"/>
  <c r="D44" i="10"/>
  <c r="C44" i="10"/>
  <c r="S43" i="10"/>
  <c r="E43" i="10"/>
  <c r="I43" i="10" s="1"/>
  <c r="D43" i="10"/>
  <c r="C43" i="10"/>
  <c r="G43" i="10" s="1"/>
  <c r="S42" i="10"/>
  <c r="E42" i="10"/>
  <c r="I42" i="10" s="1"/>
  <c r="D42" i="10"/>
  <c r="H42" i="10" s="1"/>
  <c r="C42" i="10"/>
  <c r="S41" i="10"/>
  <c r="F41" i="10" s="1"/>
  <c r="E41" i="10"/>
  <c r="I41" i="10" s="1"/>
  <c r="D41" i="10"/>
  <c r="C41" i="10"/>
  <c r="G41" i="10" s="1"/>
  <c r="S40" i="10"/>
  <c r="E40" i="10"/>
  <c r="I40" i="10" s="1"/>
  <c r="D40" i="10"/>
  <c r="L40" i="10" s="1"/>
  <c r="C40" i="10"/>
  <c r="K40" i="10" s="1"/>
  <c r="S39" i="10"/>
  <c r="E39" i="10"/>
  <c r="I39" i="10" s="1"/>
  <c r="D39" i="10"/>
  <c r="L39" i="10" s="1"/>
  <c r="C39" i="10"/>
  <c r="G39" i="10" s="1"/>
  <c r="S38" i="10"/>
  <c r="E38" i="10"/>
  <c r="I38" i="10" s="1"/>
  <c r="D38" i="10"/>
  <c r="H38" i="10" s="1"/>
  <c r="C38" i="10"/>
  <c r="G38" i="10" s="1"/>
  <c r="S37" i="10"/>
  <c r="E37" i="10"/>
  <c r="I37" i="10" s="1"/>
  <c r="D37" i="10"/>
  <c r="H37" i="10" s="1"/>
  <c r="C37" i="10"/>
  <c r="G37" i="10" s="1"/>
  <c r="S36" i="10"/>
  <c r="E36" i="10"/>
  <c r="I36" i="10" s="1"/>
  <c r="D36" i="10"/>
  <c r="C36" i="10"/>
  <c r="J36" i="10" s="1"/>
  <c r="F36" i="10"/>
  <c r="S35" i="10"/>
  <c r="E35" i="10"/>
  <c r="I35" i="10" s="1"/>
  <c r="D35" i="10"/>
  <c r="C35" i="10"/>
  <c r="G35" i="10" s="1"/>
  <c r="S34" i="10"/>
  <c r="E34" i="10"/>
  <c r="I34" i="10" s="1"/>
  <c r="D34" i="10"/>
  <c r="H34" i="10" s="1"/>
  <c r="C34" i="10"/>
  <c r="G34" i="10" s="1"/>
  <c r="S33" i="10"/>
  <c r="E33" i="10"/>
  <c r="I33" i="10" s="1"/>
  <c r="D33" i="10"/>
  <c r="C33" i="10"/>
  <c r="S32" i="10"/>
  <c r="E32" i="10"/>
  <c r="I32" i="10" s="1"/>
  <c r="D32" i="10"/>
  <c r="C32" i="10"/>
  <c r="K32" i="10" s="1"/>
  <c r="S31" i="10"/>
  <c r="E31" i="10"/>
  <c r="I31" i="10" s="1"/>
  <c r="D31" i="10"/>
  <c r="C31" i="10"/>
  <c r="S30" i="10"/>
  <c r="E30" i="10"/>
  <c r="D30" i="10"/>
  <c r="H30" i="10" s="1"/>
  <c r="C30" i="10"/>
  <c r="G30" i="10" s="1"/>
  <c r="S29" i="10"/>
  <c r="E29" i="10"/>
  <c r="I29" i="10" s="1"/>
  <c r="D29" i="10"/>
  <c r="H29" i="10" s="1"/>
  <c r="C29" i="10"/>
  <c r="F29" i="10"/>
  <c r="M29" i="10" s="1"/>
  <c r="S28" i="10"/>
  <c r="F28" i="10"/>
  <c r="E28" i="10"/>
  <c r="I28" i="10" s="1"/>
  <c r="D28" i="10"/>
  <c r="C28" i="10"/>
  <c r="S27" i="10"/>
  <c r="E27" i="10"/>
  <c r="I27" i="10" s="1"/>
  <c r="D27" i="10"/>
  <c r="H27" i="10" s="1"/>
  <c r="C27" i="10"/>
  <c r="S26" i="10"/>
  <c r="E26" i="10"/>
  <c r="D26" i="10"/>
  <c r="H26" i="10" s="1"/>
  <c r="C26" i="10"/>
  <c r="G26" i="10" s="1"/>
  <c r="S25" i="10"/>
  <c r="F25" i="10" s="1"/>
  <c r="M25" i="10" s="1"/>
  <c r="E25" i="10"/>
  <c r="I25" i="10" s="1"/>
  <c r="D25" i="10"/>
  <c r="L25" i="10" s="1"/>
  <c r="C25" i="10"/>
  <c r="J25" i="10" s="1"/>
  <c r="S24" i="10"/>
  <c r="F24" i="10" s="1"/>
  <c r="N24" i="10" s="1"/>
  <c r="E24" i="10"/>
  <c r="I24" i="10" s="1"/>
  <c r="D24" i="10"/>
  <c r="L24" i="10" s="1"/>
  <c r="C24" i="10"/>
  <c r="S23" i="10"/>
  <c r="E23" i="10"/>
  <c r="I23" i="10" s="1"/>
  <c r="D23" i="10"/>
  <c r="C23" i="10"/>
  <c r="U22" i="10"/>
  <c r="S22" i="10"/>
  <c r="E22" i="10"/>
  <c r="I22" i="10" s="1"/>
  <c r="D22" i="10"/>
  <c r="H22" i="10" s="1"/>
  <c r="C22" i="10"/>
  <c r="G22" i="10" s="1"/>
  <c r="S21" i="10"/>
  <c r="E21" i="10"/>
  <c r="I21" i="10" s="1"/>
  <c r="D21" i="10"/>
  <c r="H21" i="10" s="1"/>
  <c r="C21" i="10"/>
  <c r="K21" i="10" s="1"/>
  <c r="U20" i="10"/>
  <c r="S20" i="10"/>
  <c r="E20" i="10"/>
  <c r="I20" i="10" s="1"/>
  <c r="D20" i="10"/>
  <c r="H20" i="10" s="1"/>
  <c r="C20" i="10"/>
  <c r="S19" i="10"/>
  <c r="E19" i="10"/>
  <c r="D19" i="10"/>
  <c r="H19" i="10" s="1"/>
  <c r="C19" i="10"/>
  <c r="G19" i="10" s="1"/>
  <c r="S18" i="10"/>
  <c r="E18" i="10"/>
  <c r="I18" i="10" s="1"/>
  <c r="D18" i="10"/>
  <c r="H18" i="10" s="1"/>
  <c r="C18" i="10"/>
  <c r="S17" i="10"/>
  <c r="E17" i="10"/>
  <c r="I17" i="10" s="1"/>
  <c r="D17" i="10"/>
  <c r="C17" i="10"/>
  <c r="G17" i="10" s="1"/>
  <c r="F17" i="10"/>
  <c r="S16" i="10"/>
  <c r="E16" i="10"/>
  <c r="I16" i="10" s="1"/>
  <c r="D16" i="10"/>
  <c r="C16" i="10"/>
  <c r="G16" i="10" s="1"/>
  <c r="S15" i="10"/>
  <c r="E15" i="10"/>
  <c r="I15" i="10" s="1"/>
  <c r="D15" i="10"/>
  <c r="H15" i="10" s="1"/>
  <c r="C15" i="10"/>
  <c r="G15" i="10" s="1"/>
  <c r="S14" i="10"/>
  <c r="E14" i="10"/>
  <c r="I14" i="10" s="1"/>
  <c r="D14" i="10"/>
  <c r="H14" i="10" s="1"/>
  <c r="C14" i="10"/>
  <c r="S13" i="10"/>
  <c r="G13" i="10"/>
  <c r="E13" i="10"/>
  <c r="I13" i="10" s="1"/>
  <c r="D13" i="10"/>
  <c r="L13" i="10" s="1"/>
  <c r="C13" i="10"/>
  <c r="K13" i="10" s="1"/>
  <c r="S12" i="10"/>
  <c r="E12" i="10"/>
  <c r="I12" i="10" s="1"/>
  <c r="D12" i="10"/>
  <c r="C12" i="10"/>
  <c r="G12" i="10" s="1"/>
  <c r="S11" i="10"/>
  <c r="F11" i="10" s="1"/>
  <c r="M11" i="10" s="1"/>
  <c r="E11" i="10"/>
  <c r="I11" i="10" s="1"/>
  <c r="D11" i="10"/>
  <c r="H11" i="10" s="1"/>
  <c r="C11" i="10"/>
  <c r="G11" i="10" s="1"/>
  <c r="S10" i="10"/>
  <c r="E10" i="10"/>
  <c r="I10" i="10" s="1"/>
  <c r="D10" i="10"/>
  <c r="H10" i="10" s="1"/>
  <c r="C10" i="10"/>
  <c r="S9" i="10"/>
  <c r="E9" i="10"/>
  <c r="I9" i="10" s="1"/>
  <c r="D9" i="10"/>
  <c r="C9" i="10"/>
  <c r="U8" i="10"/>
  <c r="U18" i="10" s="1"/>
  <c r="S8" i="10"/>
  <c r="E8" i="10"/>
  <c r="D8" i="10"/>
  <c r="H8" i="10" s="1"/>
  <c r="C8" i="10"/>
  <c r="G8" i="10" s="1"/>
  <c r="S7" i="10"/>
  <c r="E7" i="10"/>
  <c r="I7" i="10" s="1"/>
  <c r="D7" i="10"/>
  <c r="H7" i="10" s="1"/>
  <c r="C7" i="10"/>
  <c r="S6" i="10"/>
  <c r="E6" i="10"/>
  <c r="D6" i="10"/>
  <c r="C6" i="10"/>
  <c r="S5" i="10"/>
  <c r="E5" i="10"/>
  <c r="I5" i="10" s="1"/>
  <c r="D5" i="10"/>
  <c r="C5" i="10"/>
  <c r="G5" i="10" s="1"/>
  <c r="U4" i="10"/>
  <c r="U6" i="10" s="1"/>
  <c r="S4" i="10"/>
  <c r="E4" i="10"/>
  <c r="I4" i="10" s="1"/>
  <c r="D4" i="10"/>
  <c r="H4" i="10" s="1"/>
  <c r="C4" i="10"/>
  <c r="S3" i="10"/>
  <c r="F3" i="10" s="1"/>
  <c r="E3" i="10"/>
  <c r="I3" i="10" s="1"/>
  <c r="D3" i="10"/>
  <c r="L3" i="10" s="1"/>
  <c r="C3" i="10"/>
  <c r="K3" i="10" s="1"/>
  <c r="U2" i="10"/>
  <c r="E2" i="10"/>
  <c r="I2" i="10" s="1"/>
  <c r="D2" i="10"/>
  <c r="C2" i="10"/>
  <c r="G2" i="10" s="1"/>
  <c r="U14" i="6"/>
  <c r="U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2" i="6"/>
  <c r="G42" i="10" l="1"/>
  <c r="K42" i="10"/>
  <c r="N41" i="10"/>
  <c r="F46" i="10"/>
  <c r="M46" i="10" s="1"/>
  <c r="K54" i="10"/>
  <c r="K56" i="10"/>
  <c r="F22" i="10"/>
  <c r="M22" i="10" s="1"/>
  <c r="L56" i="10"/>
  <c r="F72" i="10"/>
  <c r="M72" i="10" s="1"/>
  <c r="F64" i="10"/>
  <c r="M64" i="10" s="1"/>
  <c r="F56" i="10"/>
  <c r="M56" i="10" s="1"/>
  <c r="F48" i="10"/>
  <c r="P48" i="10" s="1"/>
  <c r="F40" i="10"/>
  <c r="F32" i="10"/>
  <c r="M32" i="10" s="1"/>
  <c r="K9" i="10"/>
  <c r="K48" i="10"/>
  <c r="K65" i="10"/>
  <c r="K69" i="10"/>
  <c r="F68" i="10"/>
  <c r="M68" i="10" s="1"/>
  <c r="L9" i="10"/>
  <c r="F14" i="10"/>
  <c r="M14" i="10" s="1"/>
  <c r="J29" i="10"/>
  <c r="F38" i="10"/>
  <c r="M38" i="10" s="1"/>
  <c r="L44" i="10"/>
  <c r="L69" i="10"/>
  <c r="K75" i="10"/>
  <c r="F18" i="10"/>
  <c r="M18" i="10" s="1"/>
  <c r="L6" i="10"/>
  <c r="K10" i="10"/>
  <c r="L23" i="10"/>
  <c r="L28" i="10"/>
  <c r="F33" i="10"/>
  <c r="M33" i="10" s="1"/>
  <c r="K44" i="10"/>
  <c r="L64" i="10"/>
  <c r="K68" i="10"/>
  <c r="F77" i="10"/>
  <c r="M77" i="10" s="1"/>
  <c r="K79" i="10"/>
  <c r="F6" i="10"/>
  <c r="M6" i="10" s="1"/>
  <c r="F8" i="10"/>
  <c r="M8" i="10" s="1"/>
  <c r="N28" i="10"/>
  <c r="J32" i="10"/>
  <c r="F37" i="10"/>
  <c r="N37" i="10" s="1"/>
  <c r="F80" i="10"/>
  <c r="M80" i="10" s="1"/>
  <c r="K14" i="10"/>
  <c r="K24" i="10"/>
  <c r="F39" i="10"/>
  <c r="M39" i="10" s="1"/>
  <c r="L48" i="10"/>
  <c r="F49" i="10"/>
  <c r="M49" i="10" s="1"/>
  <c r="K60" i="10"/>
  <c r="F66" i="10"/>
  <c r="M66" i="10" s="1"/>
  <c r="K70" i="10"/>
  <c r="F71" i="10"/>
  <c r="P71" i="10" s="1"/>
  <c r="F76" i="10"/>
  <c r="M76" i="10" s="1"/>
  <c r="F12" i="10"/>
  <c r="M12" i="10" s="1"/>
  <c r="J50" i="10"/>
  <c r="F51" i="10"/>
  <c r="M51" i="10" s="1"/>
  <c r="F54" i="10"/>
  <c r="M54" i="10" s="1"/>
  <c r="L60" i="10"/>
  <c r="F13" i="10"/>
  <c r="O13" i="10" s="1"/>
  <c r="F26" i="10"/>
  <c r="M26" i="10" s="1"/>
  <c r="O45" i="10"/>
  <c r="K52" i="10"/>
  <c r="F57" i="10"/>
  <c r="M57" i="10" s="1"/>
  <c r="K58" i="10"/>
  <c r="F62" i="10"/>
  <c r="M62" i="10" s="1"/>
  <c r="F69" i="10"/>
  <c r="M69" i="10" s="1"/>
  <c r="G75" i="10"/>
  <c r="F79" i="10"/>
  <c r="P79" i="10" s="1"/>
  <c r="F4" i="10"/>
  <c r="M4" i="10" s="1"/>
  <c r="J4" i="10"/>
  <c r="F5" i="10"/>
  <c r="M5" i="10" s="1"/>
  <c r="K18" i="10"/>
  <c r="F20" i="10"/>
  <c r="F23" i="10"/>
  <c r="N23" i="10" s="1"/>
  <c r="L31" i="10"/>
  <c r="F43" i="10"/>
  <c r="M43" i="10" s="1"/>
  <c r="L47" i="10"/>
  <c r="L52" i="10"/>
  <c r="F53" i="10"/>
  <c r="M53" i="10" s="1"/>
  <c r="J62" i="10"/>
  <c r="F63" i="10"/>
  <c r="M63" i="10" s="1"/>
  <c r="F81" i="10"/>
  <c r="M81" i="10" s="1"/>
  <c r="K6" i="10"/>
  <c r="F9" i="10"/>
  <c r="O9" i="10" s="1"/>
  <c r="F21" i="10"/>
  <c r="M21" i="10" s="1"/>
  <c r="K28" i="10"/>
  <c r="F45" i="10"/>
  <c r="M45" i="10" s="1"/>
  <c r="K64" i="10"/>
  <c r="K76" i="10"/>
  <c r="N33" i="10"/>
  <c r="O33" i="10"/>
  <c r="G4" i="10"/>
  <c r="J34" i="10"/>
  <c r="H39" i="10"/>
  <c r="G40" i="10"/>
  <c r="J48" i="10"/>
  <c r="J52" i="10"/>
  <c r="L57" i="10"/>
  <c r="J76" i="10"/>
  <c r="J78" i="10"/>
  <c r="F31" i="10"/>
  <c r="N31" i="10" s="1"/>
  <c r="F15" i="10"/>
  <c r="M15" i="10" s="1"/>
  <c r="F7" i="10"/>
  <c r="M7" i="10" s="1"/>
  <c r="G33" i="10"/>
  <c r="K34" i="10"/>
  <c r="K36" i="10"/>
  <c r="H40" i="10"/>
  <c r="N52" i="10"/>
  <c r="J74" i="10"/>
  <c r="K80" i="10"/>
  <c r="N3" i="10"/>
  <c r="J19" i="10"/>
  <c r="H23" i="10"/>
  <c r="J26" i="10"/>
  <c r="G32" i="10"/>
  <c r="L36" i="10"/>
  <c r="G44" i="10"/>
  <c r="G56" i="10"/>
  <c r="G60" i="10"/>
  <c r="G68" i="10"/>
  <c r="L80" i="10"/>
  <c r="G6" i="10"/>
  <c r="G10" i="10"/>
  <c r="F16" i="10"/>
  <c r="M16" i="10" s="1"/>
  <c r="H31" i="10"/>
  <c r="H32" i="10"/>
  <c r="J40" i="10"/>
  <c r="H44" i="10"/>
  <c r="H45" i="10"/>
  <c r="L49" i="10"/>
  <c r="J56" i="10"/>
  <c r="J60" i="10"/>
  <c r="G64" i="10"/>
  <c r="J68" i="10"/>
  <c r="I6" i="10"/>
  <c r="G9" i="10"/>
  <c r="G36" i="10"/>
  <c r="L45" i="10"/>
  <c r="J64" i="10"/>
  <c r="J70" i="10"/>
  <c r="G72" i="10"/>
  <c r="L76" i="10"/>
  <c r="L78" i="10"/>
  <c r="F27" i="10"/>
  <c r="O27" i="10" s="1"/>
  <c r="H9" i="10"/>
  <c r="K17" i="10"/>
  <c r="J18" i="10"/>
  <c r="L27" i="10"/>
  <c r="H36" i="10"/>
  <c r="K41" i="10"/>
  <c r="J44" i="10"/>
  <c r="G48" i="10"/>
  <c r="J72" i="10"/>
  <c r="F2" i="10"/>
  <c r="M2" i="10" s="1"/>
  <c r="F74" i="10"/>
  <c r="P74" i="10" s="1"/>
  <c r="F58" i="10"/>
  <c r="M58" i="10" s="1"/>
  <c r="F50" i="10"/>
  <c r="M50" i="10" s="1"/>
  <c r="F42" i="10"/>
  <c r="M42" i="10" s="1"/>
  <c r="F34" i="10"/>
  <c r="O34" i="10" s="1"/>
  <c r="F10" i="10"/>
  <c r="J7" i="10"/>
  <c r="J8" i="10"/>
  <c r="L17" i="10"/>
  <c r="L20" i="10"/>
  <c r="J30" i="10"/>
  <c r="L33" i="10"/>
  <c r="J42" i="10"/>
  <c r="H48" i="10"/>
  <c r="G52" i="10"/>
  <c r="J80" i="10"/>
  <c r="O10" i="10"/>
  <c r="M10" i="10"/>
  <c r="M34" i="10"/>
  <c r="O52" i="10"/>
  <c r="F59" i="10"/>
  <c r="N59" i="10" s="1"/>
  <c r="N68" i="10"/>
  <c r="P5" i="10"/>
  <c r="M41" i="10"/>
  <c r="P63" i="10"/>
  <c r="F67" i="10"/>
  <c r="M67" i="10" s="1"/>
  <c r="V66" i="10"/>
  <c r="X66" i="10" s="1"/>
  <c r="F47" i="10"/>
  <c r="O47" i="10" s="1"/>
  <c r="N56" i="10"/>
  <c r="O43" i="10"/>
  <c r="F55" i="10"/>
  <c r="M55" i="10" s="1"/>
  <c r="F75" i="10"/>
  <c r="O75" i="10" s="1"/>
  <c r="P3" i="10"/>
  <c r="F35" i="10"/>
  <c r="M35" i="10" s="1"/>
  <c r="M37" i="10"/>
  <c r="O41" i="10"/>
  <c r="O63" i="10"/>
  <c r="O79" i="10"/>
  <c r="P51" i="10"/>
  <c r="M9" i="10"/>
  <c r="N20" i="10"/>
  <c r="M48" i="10"/>
  <c r="V19" i="10"/>
  <c r="X19" i="10" s="1"/>
  <c r="P27" i="10"/>
  <c r="M27" i="10"/>
  <c r="M36" i="10"/>
  <c r="P36" i="10"/>
  <c r="N36" i="10"/>
  <c r="O36" i="10"/>
  <c r="M44" i="10"/>
  <c r="N44" i="10"/>
  <c r="O44" i="10"/>
  <c r="N27" i="10"/>
  <c r="V30" i="10"/>
  <c r="X30" i="10" s="1"/>
  <c r="P9" i="10"/>
  <c r="M20" i="10"/>
  <c r="P20" i="10"/>
  <c r="P8" i="10"/>
  <c r="M17" i="10"/>
  <c r="O17" i="10"/>
  <c r="O22" i="10"/>
  <c r="L4" i="10"/>
  <c r="K15" i="10"/>
  <c r="H2" i="10"/>
  <c r="M3" i="10"/>
  <c r="K4" i="10"/>
  <c r="X4" i="10"/>
  <c r="H5" i="10"/>
  <c r="N6" i="10"/>
  <c r="K7" i="10"/>
  <c r="I8" i="10"/>
  <c r="N9" i="10"/>
  <c r="L10" i="10"/>
  <c r="J11" i="10"/>
  <c r="V11" i="10"/>
  <c r="X11" i="10" s="1"/>
  <c r="H12" i="10"/>
  <c r="N13" i="10"/>
  <c r="L14" i="10"/>
  <c r="J15" i="10"/>
  <c r="V15" i="10"/>
  <c r="X15" i="10" s="1"/>
  <c r="H16" i="10"/>
  <c r="N17" i="10"/>
  <c r="L18" i="10"/>
  <c r="I19" i="10"/>
  <c r="G20" i="10"/>
  <c r="O20" i="10"/>
  <c r="L21" i="10"/>
  <c r="J22" i="10"/>
  <c r="G23" i="10"/>
  <c r="O23" i="10"/>
  <c r="M24" i="10"/>
  <c r="K25" i="10"/>
  <c r="I26" i="10"/>
  <c r="G27" i="10"/>
  <c r="M28" i="10"/>
  <c r="K29" i="10"/>
  <c r="I30" i="10"/>
  <c r="G31" i="10"/>
  <c r="M40" i="10"/>
  <c r="P40" i="10"/>
  <c r="V40" i="10"/>
  <c r="X40" i="10" s="1"/>
  <c r="L41" i="10"/>
  <c r="V46" i="10"/>
  <c r="X46" i="10" s="1"/>
  <c r="K49" i="10"/>
  <c r="G50" i="10"/>
  <c r="H57" i="10"/>
  <c r="O57" i="10"/>
  <c r="G62" i="10"/>
  <c r="N62" i="10"/>
  <c r="O64" i="10"/>
  <c r="K73" i="10"/>
  <c r="K22" i="10"/>
  <c r="V38" i="10"/>
  <c r="X38" i="10" s="1"/>
  <c r="J73" i="10"/>
  <c r="H73" i="10"/>
  <c r="O73" i="10"/>
  <c r="J2" i="10"/>
  <c r="V81" i="10"/>
  <c r="X81" i="10" s="1"/>
  <c r="V77" i="10"/>
  <c r="X77" i="10" s="1"/>
  <c r="V73" i="10"/>
  <c r="X73" i="10" s="1"/>
  <c r="V69" i="10"/>
  <c r="X69" i="10" s="1"/>
  <c r="V65" i="10"/>
  <c r="X65" i="10" s="1"/>
  <c r="V61" i="10"/>
  <c r="X61" i="10" s="1"/>
  <c r="V57" i="10"/>
  <c r="X57" i="10" s="1"/>
  <c r="V53" i="10"/>
  <c r="X53" i="10" s="1"/>
  <c r="V49" i="10"/>
  <c r="X49" i="10" s="1"/>
  <c r="V45" i="10"/>
  <c r="X45" i="10" s="1"/>
  <c r="V41" i="10"/>
  <c r="X41" i="10" s="1"/>
  <c r="V37" i="10"/>
  <c r="X37" i="10" s="1"/>
  <c r="V33" i="10"/>
  <c r="X33" i="10" s="1"/>
  <c r="V80" i="10"/>
  <c r="X80" i="10" s="1"/>
  <c r="V76" i="10"/>
  <c r="X76" i="10" s="1"/>
  <c r="V72" i="10"/>
  <c r="X72" i="10" s="1"/>
  <c r="V68" i="10"/>
  <c r="X68" i="10" s="1"/>
  <c r="V64" i="10"/>
  <c r="X64" i="10" s="1"/>
  <c r="V60" i="10"/>
  <c r="X60" i="10" s="1"/>
  <c r="V56" i="10"/>
  <c r="X56" i="10" s="1"/>
  <c r="V52" i="10"/>
  <c r="X52" i="10" s="1"/>
  <c r="V48" i="10"/>
  <c r="X48" i="10" s="1"/>
  <c r="V79" i="10"/>
  <c r="X79" i="10" s="1"/>
  <c r="V75" i="10"/>
  <c r="X75" i="10" s="1"/>
  <c r="V71" i="10"/>
  <c r="X71" i="10" s="1"/>
  <c r="V67" i="10"/>
  <c r="X67" i="10" s="1"/>
  <c r="V63" i="10"/>
  <c r="X63" i="10" s="1"/>
  <c r="V59" i="10"/>
  <c r="X59" i="10" s="1"/>
  <c r="V55" i="10"/>
  <c r="X55" i="10" s="1"/>
  <c r="V51" i="10"/>
  <c r="X51" i="10" s="1"/>
  <c r="V47" i="10"/>
  <c r="X47" i="10" s="1"/>
  <c r="V43" i="10"/>
  <c r="X43" i="10" s="1"/>
  <c r="V39" i="10"/>
  <c r="X39" i="10" s="1"/>
  <c r="V35" i="10"/>
  <c r="X35" i="10" s="1"/>
  <c r="G3" i="10"/>
  <c r="O3" i="10"/>
  <c r="J5" i="10"/>
  <c r="V5" i="10"/>
  <c r="X5" i="10" s="1"/>
  <c r="H6" i="10"/>
  <c r="K8" i="10"/>
  <c r="V8" i="10"/>
  <c r="X8" i="10" s="1"/>
  <c r="N10" i="10"/>
  <c r="L11" i="10"/>
  <c r="J12" i="10"/>
  <c r="V12" i="10"/>
  <c r="X12" i="10" s="1"/>
  <c r="H13" i="10"/>
  <c r="N14" i="10"/>
  <c r="L15" i="10"/>
  <c r="J16" i="10"/>
  <c r="V16" i="10"/>
  <c r="X16" i="10" s="1"/>
  <c r="H17" i="10"/>
  <c r="P17" i="10"/>
  <c r="N18" i="10"/>
  <c r="K19" i="10"/>
  <c r="N21" i="10"/>
  <c r="L22" i="10"/>
  <c r="G24" i="10"/>
  <c r="O24" i="10"/>
  <c r="K26" i="10"/>
  <c r="G28" i="10"/>
  <c r="O28" i="10"/>
  <c r="K30" i="10"/>
  <c r="P32" i="10"/>
  <c r="P33" i="10"/>
  <c r="P41" i="10"/>
  <c r="I49" i="10"/>
  <c r="V54" i="10"/>
  <c r="X54" i="10" s="1"/>
  <c r="H61" i="10"/>
  <c r="O61" i="10"/>
  <c r="G66" i="10"/>
  <c r="I73" i="10"/>
  <c r="P73" i="10"/>
  <c r="K81" i="10"/>
  <c r="K11" i="10"/>
  <c r="K2" i="10"/>
  <c r="H3" i="10"/>
  <c r="N4" i="10"/>
  <c r="K5" i="10"/>
  <c r="N7" i="10"/>
  <c r="L8" i="10"/>
  <c r="K12" i="10"/>
  <c r="G14" i="10"/>
  <c r="O14" i="10"/>
  <c r="K16" i="10"/>
  <c r="G18" i="10"/>
  <c r="O18" i="10"/>
  <c r="L19" i="10"/>
  <c r="J20" i="10"/>
  <c r="G21" i="10"/>
  <c r="O21" i="10"/>
  <c r="J23" i="10"/>
  <c r="V23" i="10"/>
  <c r="X23" i="10" s="1"/>
  <c r="H24" i="10"/>
  <c r="P24" i="10"/>
  <c r="N25" i="10"/>
  <c r="L26" i="10"/>
  <c r="J27" i="10"/>
  <c r="V27" i="10"/>
  <c r="X27" i="10" s="1"/>
  <c r="H28" i="10"/>
  <c r="P28" i="10"/>
  <c r="N29" i="10"/>
  <c r="L30" i="10"/>
  <c r="J31" i="10"/>
  <c r="V31" i="10"/>
  <c r="X31" i="10" s="1"/>
  <c r="H35" i="10"/>
  <c r="H43" i="10"/>
  <c r="P44" i="10"/>
  <c r="I61" i="10"/>
  <c r="P61" i="10"/>
  <c r="P70" i="10"/>
  <c r="M70" i="10"/>
  <c r="V70" i="10"/>
  <c r="X70" i="10" s="1"/>
  <c r="L73" i="10"/>
  <c r="P78" i="10"/>
  <c r="O78" i="10"/>
  <c r="M78" i="10"/>
  <c r="H81" i="10"/>
  <c r="O81" i="10"/>
  <c r="V26" i="10"/>
  <c r="X26" i="10" s="1"/>
  <c r="L29" i="10"/>
  <c r="O32" i="10"/>
  <c r="L2" i="10"/>
  <c r="O4" i="10"/>
  <c r="L5" i="10"/>
  <c r="J6" i="10"/>
  <c r="G7" i="10"/>
  <c r="O7" i="10"/>
  <c r="J9" i="10"/>
  <c r="V9" i="10"/>
  <c r="X9" i="10" s="1"/>
  <c r="P10" i="10"/>
  <c r="N11" i="10"/>
  <c r="L12" i="10"/>
  <c r="J13" i="10"/>
  <c r="V13" i="10"/>
  <c r="X13" i="10" s="1"/>
  <c r="P14" i="10"/>
  <c r="L16" i="10"/>
  <c r="J17" i="10"/>
  <c r="V17" i="10"/>
  <c r="X17" i="10" s="1"/>
  <c r="P18" i="10"/>
  <c r="K20" i="10"/>
  <c r="V20" i="10"/>
  <c r="X20" i="10" s="1"/>
  <c r="P21" i="10"/>
  <c r="K23" i="10"/>
  <c r="G25" i="10"/>
  <c r="O25" i="10"/>
  <c r="K27" i="10"/>
  <c r="G29" i="10"/>
  <c r="O29" i="10"/>
  <c r="K31" i="10"/>
  <c r="V32" i="10"/>
  <c r="X32" i="10" s="1"/>
  <c r="H33" i="10"/>
  <c r="V36" i="10"/>
  <c r="X36" i="10" s="1"/>
  <c r="L37" i="10"/>
  <c r="V44" i="10"/>
  <c r="X44" i="10" s="1"/>
  <c r="J46" i="10"/>
  <c r="K50" i="10"/>
  <c r="K53" i="10"/>
  <c r="G54" i="10"/>
  <c r="O56" i="10"/>
  <c r="V58" i="10"/>
  <c r="X58" i="10" s="1"/>
  <c r="L61" i="10"/>
  <c r="H65" i="10"/>
  <c r="O65" i="10"/>
  <c r="O67" i="10"/>
  <c r="G70" i="10"/>
  <c r="N70" i="10"/>
  <c r="N71" i="10"/>
  <c r="M71" i="10"/>
  <c r="N72" i="10"/>
  <c r="G78" i="10"/>
  <c r="N78" i="10"/>
  <c r="V78" i="10"/>
  <c r="X78" i="10" s="1"/>
  <c r="I81" i="10"/>
  <c r="P81" i="10"/>
  <c r="L7" i="10"/>
  <c r="H49" i="10"/>
  <c r="J3" i="10"/>
  <c r="V3" i="10"/>
  <c r="X3" i="10" s="1"/>
  <c r="P4" i="10"/>
  <c r="V6" i="10"/>
  <c r="X6" i="10" s="1"/>
  <c r="P7" i="10"/>
  <c r="N8" i="10"/>
  <c r="O11" i="10"/>
  <c r="F19" i="10"/>
  <c r="M19" i="10" s="1"/>
  <c r="J24" i="10"/>
  <c r="V24" i="10"/>
  <c r="X24" i="10" s="1"/>
  <c r="H25" i="10"/>
  <c r="P25" i="10"/>
  <c r="N26" i="10"/>
  <c r="J28" i="10"/>
  <c r="V28" i="10"/>
  <c r="X28" i="10" s="1"/>
  <c r="P29" i="10"/>
  <c r="F30" i="10"/>
  <c r="M30" i="10" s="1"/>
  <c r="V34" i="10"/>
  <c r="X34" i="10" s="1"/>
  <c r="L35" i="10"/>
  <c r="J38" i="10"/>
  <c r="N40" i="10"/>
  <c r="V42" i="10"/>
  <c r="X42" i="10" s="1"/>
  <c r="L43" i="10"/>
  <c r="P45" i="10"/>
  <c r="K46" i="10"/>
  <c r="H53" i="10"/>
  <c r="N60" i="10"/>
  <c r="I65" i="10"/>
  <c r="P65" i="10"/>
  <c r="J66" i="10"/>
  <c r="O72" i="10"/>
  <c r="L81" i="10"/>
  <c r="V22" i="10"/>
  <c r="X22" i="10" s="1"/>
  <c r="N5" i="10"/>
  <c r="O8" i="10"/>
  <c r="J10" i="10"/>
  <c r="V10" i="10"/>
  <c r="X10" i="10" s="1"/>
  <c r="P11" i="10"/>
  <c r="J14" i="10"/>
  <c r="V14" i="10"/>
  <c r="X14" i="10" s="1"/>
  <c r="N16" i="10"/>
  <c r="J21" i="10"/>
  <c r="V21" i="10"/>
  <c r="X21" i="10" s="1"/>
  <c r="P22" i="10"/>
  <c r="O26" i="10"/>
  <c r="K37" i="10"/>
  <c r="P37" i="10"/>
  <c r="K38" i="10"/>
  <c r="O40" i="10"/>
  <c r="P43" i="10"/>
  <c r="K45" i="10"/>
  <c r="N46" i="10"/>
  <c r="H47" i="10"/>
  <c r="V50" i="10"/>
  <c r="X50" i="10" s="1"/>
  <c r="I53" i="10"/>
  <c r="G58" i="10"/>
  <c r="N58" i="10"/>
  <c r="O60" i="10"/>
  <c r="V62" i="10"/>
  <c r="X62" i="10" s="1"/>
  <c r="L65" i="10"/>
  <c r="K66" i="10"/>
  <c r="H69" i="10"/>
  <c r="O69" i="10"/>
  <c r="M74" i="10"/>
  <c r="H77" i="10"/>
  <c r="N79" i="10"/>
  <c r="M79" i="10"/>
  <c r="I57" i="10"/>
  <c r="P57" i="10"/>
  <c r="V7" i="10"/>
  <c r="X7" i="10" s="1"/>
  <c r="V18" i="10"/>
  <c r="X18" i="10" s="1"/>
  <c r="V25" i="10"/>
  <c r="X25" i="10" s="1"/>
  <c r="V29" i="10"/>
  <c r="X29" i="10" s="1"/>
  <c r="L32" i="10"/>
  <c r="K33" i="10"/>
  <c r="H41" i="10"/>
  <c r="J54" i="10"/>
  <c r="K57" i="10"/>
  <c r="N64" i="10"/>
  <c r="I69" i="10"/>
  <c r="P69" i="10"/>
  <c r="O71" i="10"/>
  <c r="G74" i="10"/>
  <c r="V74" i="10"/>
  <c r="X74" i="10" s="1"/>
  <c r="I77" i="10"/>
  <c r="L34" i="10"/>
  <c r="J35" i="10"/>
  <c r="L38" i="10"/>
  <c r="J39" i="10"/>
  <c r="L42" i="10"/>
  <c r="J43" i="10"/>
  <c r="N45" i="10"/>
  <c r="L46" i="10"/>
  <c r="J47" i="10"/>
  <c r="L50" i="10"/>
  <c r="J51" i="10"/>
  <c r="P52" i="10"/>
  <c r="L54" i="10"/>
  <c r="J55" i="10"/>
  <c r="H56" i="10"/>
  <c r="P56" i="10"/>
  <c r="N57" i="10"/>
  <c r="L58" i="10"/>
  <c r="J59" i="10"/>
  <c r="H60" i="10"/>
  <c r="P60" i="10"/>
  <c r="N61" i="10"/>
  <c r="L62" i="10"/>
  <c r="J63" i="10"/>
  <c r="H64" i="10"/>
  <c r="P64" i="10"/>
  <c r="N65" i="10"/>
  <c r="L66" i="10"/>
  <c r="J67" i="10"/>
  <c r="H68" i="10"/>
  <c r="P68" i="10"/>
  <c r="N69" i="10"/>
  <c r="L70" i="10"/>
  <c r="J71" i="10"/>
  <c r="H72" i="10"/>
  <c r="P72" i="10"/>
  <c r="N73" i="10"/>
  <c r="L74" i="10"/>
  <c r="J75" i="10"/>
  <c r="H76" i="10"/>
  <c r="N77" i="10"/>
  <c r="J79" i="10"/>
  <c r="H80" i="10"/>
  <c r="N81" i="10"/>
  <c r="K35" i="10"/>
  <c r="K39" i="10"/>
  <c r="K43" i="10"/>
  <c r="K47" i="10"/>
  <c r="K51" i="10"/>
  <c r="G53" i="10"/>
  <c r="K55" i="10"/>
  <c r="G57" i="10"/>
  <c r="K59" i="10"/>
  <c r="G61" i="10"/>
  <c r="K63" i="10"/>
  <c r="G65" i="10"/>
  <c r="K67" i="10"/>
  <c r="G69" i="10"/>
  <c r="K71" i="10"/>
  <c r="G73" i="10"/>
  <c r="G77" i="10"/>
  <c r="G81" i="10"/>
  <c r="L51" i="10"/>
  <c r="L55" i="10"/>
  <c r="L59" i="10"/>
  <c r="L63" i="10"/>
  <c r="L67" i="10"/>
  <c r="L71" i="10"/>
  <c r="L75" i="10"/>
  <c r="L79" i="10"/>
  <c r="O58" i="10"/>
  <c r="O62" i="10"/>
  <c r="O70" i="10"/>
  <c r="J33" i="10"/>
  <c r="P34" i="10"/>
  <c r="J37" i="10"/>
  <c r="J41" i="10"/>
  <c r="N43" i="10"/>
  <c r="J45" i="10"/>
  <c r="P46" i="10"/>
  <c r="J49" i="10"/>
  <c r="N51" i="10"/>
  <c r="J53" i="10"/>
  <c r="J57" i="10"/>
  <c r="P58" i="10"/>
  <c r="J61" i="10"/>
  <c r="N63" i="10"/>
  <c r="J65" i="10"/>
  <c r="J69" i="10"/>
  <c r="J77" i="10"/>
  <c r="J81" i="10"/>
  <c r="N22" i="10" l="1"/>
  <c r="N15" i="10"/>
  <c r="N48" i="10"/>
  <c r="P13" i="10"/>
  <c r="O48" i="10"/>
  <c r="N39" i="10"/>
  <c r="O50" i="10"/>
  <c r="P15" i="10"/>
  <c r="P38" i="10"/>
  <c r="O46" i="10"/>
  <c r="N50" i="10"/>
  <c r="N32" i="10"/>
  <c r="M23" i="10"/>
  <c r="O68" i="10"/>
  <c r="P50" i="10"/>
  <c r="O38" i="10"/>
  <c r="M13" i="10"/>
  <c r="P23" i="10"/>
  <c r="O37" i="10"/>
  <c r="P16" i="10"/>
  <c r="N38" i="10"/>
  <c r="N12" i="10"/>
  <c r="O15" i="10"/>
  <c r="P26" i="10"/>
  <c r="P66" i="10"/>
  <c r="O66" i="10"/>
  <c r="N49" i="10"/>
  <c r="N80" i="10"/>
  <c r="P53" i="10"/>
  <c r="O49" i="10"/>
  <c r="O2" i="10"/>
  <c r="O39" i="10"/>
  <c r="P6" i="10"/>
  <c r="O80" i="10"/>
  <c r="P62" i="10"/>
  <c r="O54" i="10"/>
  <c r="P80" i="10"/>
  <c r="P77" i="10"/>
  <c r="O77" i="10"/>
  <c r="N2" i="10"/>
  <c r="O53" i="10"/>
  <c r="N54" i="10"/>
  <c r="P2" i="10"/>
  <c r="O6" i="10"/>
  <c r="O5" i="10"/>
  <c r="O74" i="10"/>
  <c r="O76" i="10"/>
  <c r="O12" i="10"/>
  <c r="N47" i="10"/>
  <c r="N35" i="10"/>
  <c r="N53" i="10"/>
  <c r="P35" i="10"/>
  <c r="P49" i="10"/>
  <c r="N34" i="10"/>
  <c r="N74" i="10"/>
  <c r="O31" i="10"/>
  <c r="P12" i="10"/>
  <c r="P31" i="10"/>
  <c r="N67" i="10"/>
  <c r="P54" i="10"/>
  <c r="P76" i="10"/>
  <c r="O55" i="10"/>
  <c r="N66" i="10"/>
  <c r="P39" i="10"/>
  <c r="P67" i="10"/>
  <c r="O51" i="10"/>
  <c r="M31" i="10"/>
  <c r="N76" i="10"/>
  <c r="O59" i="10"/>
  <c r="O42" i="10"/>
  <c r="P42" i="10"/>
  <c r="N42" i="10"/>
  <c r="O16" i="10"/>
  <c r="O35" i="10"/>
  <c r="P75" i="10"/>
  <c r="M59" i="10"/>
  <c r="P59" i="10"/>
  <c r="M75" i="10"/>
  <c r="N75" i="10"/>
  <c r="N55" i="10"/>
  <c r="P55" i="10"/>
  <c r="M47" i="10"/>
  <c r="P47" i="10"/>
  <c r="O30" i="10"/>
  <c r="P30" i="10"/>
  <c r="N30" i="10"/>
  <c r="O19" i="10"/>
  <c r="N19" i="10"/>
  <c r="P19" i="10"/>
  <c r="U22" i="6" l="1"/>
  <c r="U20" i="6" l="1"/>
  <c r="U18" i="6"/>
  <c r="U6" i="6"/>
  <c r="U16" i="6" s="1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2" i="6"/>
  <c r="E3" i="6"/>
  <c r="I3" i="6" s="1"/>
  <c r="E4" i="6"/>
  <c r="I4" i="6" s="1"/>
  <c r="E5" i="6"/>
  <c r="I5" i="6" s="1"/>
  <c r="E6" i="6"/>
  <c r="I6" i="6" s="1"/>
  <c r="E7" i="6"/>
  <c r="I7" i="6" s="1"/>
  <c r="E8" i="6"/>
  <c r="I8" i="6" s="1"/>
  <c r="E9" i="6"/>
  <c r="E10" i="6"/>
  <c r="I10" i="6" s="1"/>
  <c r="E11" i="6"/>
  <c r="E12" i="6"/>
  <c r="I12" i="6" s="1"/>
  <c r="E13" i="6"/>
  <c r="E14" i="6"/>
  <c r="I14" i="6" s="1"/>
  <c r="E15" i="6"/>
  <c r="I15" i="6" s="1"/>
  <c r="E16" i="6"/>
  <c r="E17" i="6"/>
  <c r="E18" i="6"/>
  <c r="I18" i="6" s="1"/>
  <c r="E19" i="6"/>
  <c r="I19" i="6" s="1"/>
  <c r="E20" i="6"/>
  <c r="I20" i="6" s="1"/>
  <c r="E21" i="6"/>
  <c r="I21" i="6" s="1"/>
  <c r="E22" i="6"/>
  <c r="I22" i="6" s="1"/>
  <c r="E23" i="6"/>
  <c r="I23" i="6" s="1"/>
  <c r="E24" i="6"/>
  <c r="I24" i="6" s="1"/>
  <c r="E25" i="6"/>
  <c r="E26" i="6"/>
  <c r="E27" i="6"/>
  <c r="E28" i="6"/>
  <c r="E29" i="6"/>
  <c r="I29" i="6" s="1"/>
  <c r="E30" i="6"/>
  <c r="I30" i="6" s="1"/>
  <c r="E31" i="6"/>
  <c r="I31" i="6" s="1"/>
  <c r="E32" i="6"/>
  <c r="I32" i="6" s="1"/>
  <c r="E33" i="6"/>
  <c r="I33" i="6" s="1"/>
  <c r="E34" i="6"/>
  <c r="I34" i="6" s="1"/>
  <c r="E35" i="6"/>
  <c r="I35" i="6" s="1"/>
  <c r="E36" i="6"/>
  <c r="I36" i="6" s="1"/>
  <c r="E37" i="6"/>
  <c r="I37" i="6" s="1"/>
  <c r="E38" i="6"/>
  <c r="I38" i="6" s="1"/>
  <c r="E39" i="6"/>
  <c r="I39" i="6" s="1"/>
  <c r="E40" i="6"/>
  <c r="I40" i="6" s="1"/>
  <c r="E41" i="6"/>
  <c r="I41" i="6" s="1"/>
  <c r="E42" i="6"/>
  <c r="E43" i="6"/>
  <c r="E44" i="6"/>
  <c r="I44" i="6" s="1"/>
  <c r="E45" i="6"/>
  <c r="I45" i="6" s="1"/>
  <c r="E46" i="6"/>
  <c r="I46" i="6" s="1"/>
  <c r="E47" i="6"/>
  <c r="I47" i="6" s="1"/>
  <c r="E48" i="6"/>
  <c r="I48" i="6" s="1"/>
  <c r="E49" i="6"/>
  <c r="I49" i="6" s="1"/>
  <c r="E50" i="6"/>
  <c r="I50" i="6" s="1"/>
  <c r="E51" i="6"/>
  <c r="I51" i="6" s="1"/>
  <c r="E52" i="6"/>
  <c r="I52" i="6" s="1"/>
  <c r="E53" i="6"/>
  <c r="I53" i="6" s="1"/>
  <c r="E54" i="6"/>
  <c r="I54" i="6" s="1"/>
  <c r="E55" i="6"/>
  <c r="I55" i="6" s="1"/>
  <c r="E56" i="6"/>
  <c r="E57" i="6"/>
  <c r="I57" i="6" s="1"/>
  <c r="E58" i="6"/>
  <c r="I58" i="6" s="1"/>
  <c r="E59" i="6"/>
  <c r="I59" i="6" s="1"/>
  <c r="E60" i="6"/>
  <c r="E61" i="6"/>
  <c r="E62" i="6"/>
  <c r="E63" i="6"/>
  <c r="E64" i="6"/>
  <c r="I64" i="6" s="1"/>
  <c r="E65" i="6"/>
  <c r="I65" i="6" s="1"/>
  <c r="E66" i="6"/>
  <c r="I66" i="6" s="1"/>
  <c r="E67" i="6"/>
  <c r="E68" i="6"/>
  <c r="E69" i="6"/>
  <c r="E70" i="6"/>
  <c r="E71" i="6"/>
  <c r="E72" i="6"/>
  <c r="I72" i="6" s="1"/>
  <c r="E73" i="6"/>
  <c r="I73" i="6" s="1"/>
  <c r="E74" i="6"/>
  <c r="I74" i="6" s="1"/>
  <c r="E75" i="6"/>
  <c r="I75" i="6" s="1"/>
  <c r="E76" i="6"/>
  <c r="I76" i="6" s="1"/>
  <c r="E77" i="6"/>
  <c r="I77" i="6" s="1"/>
  <c r="E78" i="6"/>
  <c r="I78" i="6" s="1"/>
  <c r="E79" i="6"/>
  <c r="I79" i="6" s="1"/>
  <c r="E80" i="6"/>
  <c r="I80" i="6" s="1"/>
  <c r="E81" i="6"/>
  <c r="I81" i="6" s="1"/>
  <c r="E2" i="6"/>
  <c r="I2" i="6" s="1"/>
  <c r="D3" i="6"/>
  <c r="H3" i="6" s="1"/>
  <c r="D4" i="6"/>
  <c r="H4" i="6" s="1"/>
  <c r="D5" i="6"/>
  <c r="H5" i="6" s="1"/>
  <c r="D6" i="6"/>
  <c r="L6" i="6" s="1"/>
  <c r="D7" i="6"/>
  <c r="D8" i="6"/>
  <c r="L8" i="6" s="1"/>
  <c r="D9" i="6"/>
  <c r="H9" i="6" s="1"/>
  <c r="D10" i="6"/>
  <c r="L10" i="6" s="1"/>
  <c r="D11" i="6"/>
  <c r="L11" i="6" s="1"/>
  <c r="D12" i="6"/>
  <c r="H12" i="6" s="1"/>
  <c r="D13" i="6"/>
  <c r="H13" i="6" s="1"/>
  <c r="D14" i="6"/>
  <c r="H14" i="6" s="1"/>
  <c r="D15" i="6"/>
  <c r="L15" i="6" s="1"/>
  <c r="D16" i="6"/>
  <c r="H16" i="6" s="1"/>
  <c r="D17" i="6"/>
  <c r="H17" i="6" s="1"/>
  <c r="D18" i="6"/>
  <c r="H18" i="6" s="1"/>
  <c r="D19" i="6"/>
  <c r="D20" i="6"/>
  <c r="D21" i="6"/>
  <c r="L21" i="6" s="1"/>
  <c r="D22" i="6"/>
  <c r="H22" i="6" s="1"/>
  <c r="D23" i="6"/>
  <c r="H23" i="6" s="1"/>
  <c r="D24" i="6"/>
  <c r="H24" i="6" s="1"/>
  <c r="D25" i="6"/>
  <c r="H25" i="6" s="1"/>
  <c r="D26" i="6"/>
  <c r="H26" i="6" s="1"/>
  <c r="D27" i="6"/>
  <c r="L27" i="6" s="1"/>
  <c r="D28" i="6"/>
  <c r="H28" i="6" s="1"/>
  <c r="D29" i="6"/>
  <c r="H29" i="6" s="1"/>
  <c r="D30" i="6"/>
  <c r="H30" i="6" s="1"/>
  <c r="D31" i="6"/>
  <c r="D32" i="6"/>
  <c r="L32" i="6" s="1"/>
  <c r="D33" i="6"/>
  <c r="H33" i="6" s="1"/>
  <c r="D34" i="6"/>
  <c r="L34" i="6" s="1"/>
  <c r="D35" i="6"/>
  <c r="L35" i="6" s="1"/>
  <c r="D36" i="6"/>
  <c r="H36" i="6" s="1"/>
  <c r="D37" i="6"/>
  <c r="H37" i="6" s="1"/>
  <c r="D38" i="6"/>
  <c r="H38" i="6" s="1"/>
  <c r="D39" i="6"/>
  <c r="L39" i="6" s="1"/>
  <c r="D40" i="6"/>
  <c r="L40" i="6" s="1"/>
  <c r="D41" i="6"/>
  <c r="D42" i="6"/>
  <c r="D43" i="6"/>
  <c r="H43" i="6" s="1"/>
  <c r="D44" i="6"/>
  <c r="H44" i="6" s="1"/>
  <c r="D45" i="6"/>
  <c r="D46" i="6"/>
  <c r="L46" i="6" s="1"/>
  <c r="D47" i="6"/>
  <c r="H47" i="6" s="1"/>
  <c r="D48" i="6"/>
  <c r="D49" i="6"/>
  <c r="L49" i="6" s="1"/>
  <c r="D50" i="6"/>
  <c r="D51" i="6"/>
  <c r="D52" i="6"/>
  <c r="L52" i="6" s="1"/>
  <c r="D53" i="6"/>
  <c r="D54" i="6"/>
  <c r="D55" i="6"/>
  <c r="D56" i="6"/>
  <c r="L56" i="6" s="1"/>
  <c r="D57" i="6"/>
  <c r="D58" i="6"/>
  <c r="H58" i="6" s="1"/>
  <c r="D59" i="6"/>
  <c r="L59" i="6" s="1"/>
  <c r="D60" i="6"/>
  <c r="H60" i="6" s="1"/>
  <c r="D61" i="6"/>
  <c r="H61" i="6" s="1"/>
  <c r="D62" i="6"/>
  <c r="D63" i="6"/>
  <c r="D64" i="6"/>
  <c r="D65" i="6"/>
  <c r="D66" i="6"/>
  <c r="L66" i="6" s="1"/>
  <c r="D67" i="6"/>
  <c r="H67" i="6" s="1"/>
  <c r="D68" i="6"/>
  <c r="H68" i="6" s="1"/>
  <c r="D69" i="6"/>
  <c r="H69" i="6" s="1"/>
  <c r="D70" i="6"/>
  <c r="H70" i="6" s="1"/>
  <c r="D71" i="6"/>
  <c r="H71" i="6" s="1"/>
  <c r="D72" i="6"/>
  <c r="H72" i="6" s="1"/>
  <c r="D73" i="6"/>
  <c r="H73" i="6" s="1"/>
  <c r="D74" i="6"/>
  <c r="D75" i="6"/>
  <c r="D76" i="6"/>
  <c r="D77" i="6"/>
  <c r="D78" i="6"/>
  <c r="D79" i="6"/>
  <c r="D80" i="6"/>
  <c r="L80" i="6" s="1"/>
  <c r="D81" i="6"/>
  <c r="D2" i="6"/>
  <c r="L2" i="6" s="1"/>
  <c r="C3" i="6"/>
  <c r="K3" i="6" s="1"/>
  <c r="C4" i="6"/>
  <c r="K4" i="6" s="1"/>
  <c r="C5" i="6"/>
  <c r="G5" i="6" s="1"/>
  <c r="C6" i="6"/>
  <c r="G6" i="6" s="1"/>
  <c r="C7" i="6"/>
  <c r="K7" i="6" s="1"/>
  <c r="C8" i="6"/>
  <c r="J8" i="6" s="1"/>
  <c r="C9" i="6"/>
  <c r="K9" i="6" s="1"/>
  <c r="C10" i="6"/>
  <c r="J10" i="6" s="1"/>
  <c r="C11" i="6"/>
  <c r="K11" i="6" s="1"/>
  <c r="C12" i="6"/>
  <c r="C13" i="6"/>
  <c r="K13" i="6" s="1"/>
  <c r="C14" i="6"/>
  <c r="K14" i="6" s="1"/>
  <c r="C15" i="6"/>
  <c r="K15" i="6" s="1"/>
  <c r="C16" i="6"/>
  <c r="G16" i="6" s="1"/>
  <c r="C17" i="6"/>
  <c r="K17" i="6" s="1"/>
  <c r="C18" i="6"/>
  <c r="K18" i="6" s="1"/>
  <c r="C19" i="6"/>
  <c r="K19" i="6" s="1"/>
  <c r="C20" i="6"/>
  <c r="K20" i="6" s="1"/>
  <c r="C21" i="6"/>
  <c r="J21" i="6" s="1"/>
  <c r="C22" i="6"/>
  <c r="J22" i="6" s="1"/>
  <c r="C23" i="6"/>
  <c r="K23" i="6" s="1"/>
  <c r="C24" i="6"/>
  <c r="G24" i="6" s="1"/>
  <c r="C25" i="6"/>
  <c r="J25" i="6" s="1"/>
  <c r="C26" i="6"/>
  <c r="J26" i="6" s="1"/>
  <c r="C27" i="6"/>
  <c r="J27" i="6" s="1"/>
  <c r="C28" i="6"/>
  <c r="G28" i="6" s="1"/>
  <c r="C29" i="6"/>
  <c r="J29" i="6" s="1"/>
  <c r="C30" i="6"/>
  <c r="G30" i="6" s="1"/>
  <c r="C31" i="6"/>
  <c r="K31" i="6" s="1"/>
  <c r="C32" i="6"/>
  <c r="G32" i="6" s="1"/>
  <c r="C33" i="6"/>
  <c r="G33" i="6" s="1"/>
  <c r="C34" i="6"/>
  <c r="G34" i="6" s="1"/>
  <c r="C35" i="6"/>
  <c r="K35" i="6" s="1"/>
  <c r="C36" i="6"/>
  <c r="K36" i="6" s="1"/>
  <c r="C37" i="6"/>
  <c r="K37" i="6" s="1"/>
  <c r="C38" i="6"/>
  <c r="G38" i="6" s="1"/>
  <c r="C39" i="6"/>
  <c r="K39" i="6" s="1"/>
  <c r="C40" i="6"/>
  <c r="K40" i="6" s="1"/>
  <c r="C41" i="6"/>
  <c r="G41" i="6" s="1"/>
  <c r="C42" i="6"/>
  <c r="J42" i="6" s="1"/>
  <c r="C43" i="6"/>
  <c r="J43" i="6" s="1"/>
  <c r="C44" i="6"/>
  <c r="J44" i="6" s="1"/>
  <c r="C45" i="6"/>
  <c r="K45" i="6" s="1"/>
  <c r="C46" i="6"/>
  <c r="K46" i="6" s="1"/>
  <c r="C47" i="6"/>
  <c r="K47" i="6" s="1"/>
  <c r="C48" i="6"/>
  <c r="K48" i="6" s="1"/>
  <c r="C49" i="6"/>
  <c r="K49" i="6" s="1"/>
  <c r="C50" i="6"/>
  <c r="G50" i="6" s="1"/>
  <c r="C51" i="6"/>
  <c r="G51" i="6" s="1"/>
  <c r="C52" i="6"/>
  <c r="G52" i="6" s="1"/>
  <c r="C53" i="6"/>
  <c r="G53" i="6" s="1"/>
  <c r="C54" i="6"/>
  <c r="K54" i="6" s="1"/>
  <c r="C55" i="6"/>
  <c r="K55" i="6" s="1"/>
  <c r="C56" i="6"/>
  <c r="G56" i="6" s="1"/>
  <c r="C57" i="6"/>
  <c r="K57" i="6" s="1"/>
  <c r="C58" i="6"/>
  <c r="K58" i="6" s="1"/>
  <c r="C59" i="6"/>
  <c r="K59" i="6" s="1"/>
  <c r="C60" i="6"/>
  <c r="K60" i="6" s="1"/>
  <c r="C61" i="6"/>
  <c r="G61" i="6" s="1"/>
  <c r="C62" i="6"/>
  <c r="J62" i="6" s="1"/>
  <c r="C63" i="6"/>
  <c r="G63" i="6" s="1"/>
  <c r="C64" i="6"/>
  <c r="G64" i="6" s="1"/>
  <c r="C65" i="6"/>
  <c r="G65" i="6" s="1"/>
  <c r="C66" i="6"/>
  <c r="K66" i="6" s="1"/>
  <c r="C67" i="6"/>
  <c r="G67" i="6" s="1"/>
  <c r="C68" i="6"/>
  <c r="G68" i="6" s="1"/>
  <c r="C69" i="6"/>
  <c r="K69" i="6" s="1"/>
  <c r="C70" i="6"/>
  <c r="C71" i="6"/>
  <c r="C72" i="6"/>
  <c r="C73" i="6"/>
  <c r="J73" i="6" s="1"/>
  <c r="C74" i="6"/>
  <c r="G74" i="6" s="1"/>
  <c r="C75" i="6"/>
  <c r="G75" i="6" s="1"/>
  <c r="C76" i="6"/>
  <c r="G76" i="6" s="1"/>
  <c r="C77" i="6"/>
  <c r="G77" i="6" s="1"/>
  <c r="C78" i="6"/>
  <c r="G78" i="6" s="1"/>
  <c r="C79" i="6"/>
  <c r="G79" i="6" s="1"/>
  <c r="C80" i="6"/>
  <c r="G80" i="6" s="1"/>
  <c r="C81" i="6"/>
  <c r="G81" i="6" s="1"/>
  <c r="C2" i="6"/>
  <c r="K2" i="6" l="1"/>
  <c r="V2" i="6"/>
  <c r="I9" i="6"/>
  <c r="H27" i="6"/>
  <c r="G47" i="6"/>
  <c r="G46" i="6"/>
  <c r="K61" i="6"/>
  <c r="G27" i="6"/>
  <c r="K44" i="6"/>
  <c r="G25" i="6"/>
  <c r="H32" i="6"/>
  <c r="H10" i="6"/>
  <c r="L69" i="6"/>
  <c r="L13" i="6"/>
  <c r="G40" i="6"/>
  <c r="J16" i="6"/>
  <c r="L9" i="6"/>
  <c r="H15" i="6"/>
  <c r="J15" i="6"/>
  <c r="L67" i="6"/>
  <c r="G26" i="6"/>
  <c r="H11" i="6"/>
  <c r="G45" i="6"/>
  <c r="L58" i="6"/>
  <c r="J79" i="6"/>
  <c r="G44" i="6"/>
  <c r="L62" i="6"/>
  <c r="G43" i="6"/>
  <c r="L70" i="6"/>
  <c r="G21" i="6"/>
  <c r="G3" i="6"/>
  <c r="L16" i="6"/>
  <c r="L63" i="6"/>
  <c r="G37" i="6"/>
  <c r="G39" i="6"/>
  <c r="G36" i="6"/>
  <c r="L22" i="6"/>
  <c r="L55" i="6"/>
  <c r="L38" i="6"/>
  <c r="G2" i="6"/>
  <c r="L61" i="6"/>
  <c r="G35" i="6"/>
  <c r="L33" i="6"/>
  <c r="G62" i="6"/>
  <c r="G4" i="6"/>
  <c r="L17" i="6"/>
  <c r="G66" i="6"/>
  <c r="L44" i="6"/>
  <c r="G31" i="6"/>
  <c r="J30" i="6"/>
  <c r="K30" i="6"/>
  <c r="L68" i="6"/>
  <c r="L37" i="6"/>
  <c r="L36" i="6"/>
  <c r="G20" i="6"/>
  <c r="L45" i="6"/>
  <c r="G60" i="6"/>
  <c r="K21" i="6"/>
  <c r="G49" i="6"/>
  <c r="G29" i="6"/>
  <c r="H59" i="6"/>
  <c r="H8" i="6"/>
  <c r="J28" i="6"/>
  <c r="L71" i="6"/>
  <c r="L60" i="6"/>
  <c r="L43" i="6"/>
  <c r="K56" i="6"/>
  <c r="G48" i="6"/>
  <c r="K81" i="6"/>
  <c r="L81" i="6"/>
  <c r="K71" i="6"/>
  <c r="I70" i="6"/>
  <c r="I69" i="6"/>
  <c r="L65" i="6"/>
  <c r="L64" i="6"/>
  <c r="I68" i="6"/>
  <c r="I67" i="6"/>
  <c r="K63" i="6"/>
  <c r="K70" i="6"/>
  <c r="I71" i="6"/>
  <c r="K65" i="6"/>
  <c r="K64" i="6"/>
  <c r="I63" i="6"/>
  <c r="I62" i="6"/>
  <c r="I56" i="6"/>
  <c r="L53" i="6"/>
  <c r="I61" i="6"/>
  <c r="K53" i="6"/>
  <c r="I60" i="6"/>
  <c r="K52" i="6"/>
  <c r="I42" i="6"/>
  <c r="L42" i="6"/>
  <c r="I43" i="6"/>
  <c r="L50" i="6"/>
  <c r="K43" i="6"/>
  <c r="K38" i="6"/>
  <c r="K34" i="6"/>
  <c r="L23" i="6"/>
  <c r="K26" i="6"/>
  <c r="I28" i="6"/>
  <c r="I26" i="6"/>
  <c r="L24" i="6"/>
  <c r="K28" i="6"/>
  <c r="K25" i="6"/>
  <c r="I27" i="6"/>
  <c r="I25" i="6"/>
  <c r="K29" i="6"/>
  <c r="K27" i="6"/>
  <c r="L14" i="6"/>
  <c r="L12" i="6"/>
  <c r="I13" i="6"/>
  <c r="L19" i="6"/>
  <c r="L18" i="6"/>
  <c r="L20" i="6"/>
  <c r="I17" i="6"/>
  <c r="I16" i="6"/>
  <c r="I11" i="6"/>
  <c r="J76" i="6"/>
  <c r="J75" i="6"/>
  <c r="K80" i="6"/>
  <c r="J74" i="6"/>
  <c r="K79" i="6"/>
  <c r="K78" i="6"/>
  <c r="K77" i="6"/>
  <c r="K76" i="6"/>
  <c r="J72" i="6"/>
  <c r="K75" i="6"/>
  <c r="K74" i="6"/>
  <c r="J77" i="6"/>
  <c r="K73" i="6"/>
  <c r="J78" i="6"/>
  <c r="K72" i="6"/>
  <c r="G73" i="6"/>
  <c r="G72" i="6"/>
  <c r="K68" i="6"/>
  <c r="K67" i="6"/>
  <c r="J71" i="6"/>
  <c r="J70" i="6"/>
  <c r="G71" i="6"/>
  <c r="J69" i="6"/>
  <c r="J63" i="6"/>
  <c r="G70" i="6"/>
  <c r="J68" i="6"/>
  <c r="G69" i="6"/>
  <c r="J67" i="6"/>
  <c r="K62" i="6"/>
  <c r="J59" i="6"/>
  <c r="G58" i="6"/>
  <c r="G57" i="6"/>
  <c r="G59" i="6"/>
  <c r="J58" i="6"/>
  <c r="G55" i="6"/>
  <c r="G54" i="6"/>
  <c r="J61" i="6"/>
  <c r="J60" i="6"/>
  <c r="K42" i="6"/>
  <c r="K51" i="6"/>
  <c r="G42" i="6"/>
  <c r="J48" i="6"/>
  <c r="K50" i="6"/>
  <c r="J47" i="6"/>
  <c r="J46" i="6"/>
  <c r="J51" i="6"/>
  <c r="J45" i="6"/>
  <c r="K33" i="6"/>
  <c r="K32" i="6"/>
  <c r="J32" i="6"/>
  <c r="K41" i="6"/>
  <c r="J35" i="6"/>
  <c r="J41" i="6"/>
  <c r="G23" i="6"/>
  <c r="K24" i="6"/>
  <c r="J31" i="6"/>
  <c r="J23" i="6"/>
  <c r="G22" i="6"/>
  <c r="J24" i="6"/>
  <c r="K22" i="6"/>
  <c r="J13" i="6"/>
  <c r="J14" i="6"/>
  <c r="G19" i="6"/>
  <c r="K16" i="6"/>
  <c r="J12" i="6"/>
  <c r="J19" i="6"/>
  <c r="G18" i="6"/>
  <c r="G17" i="6"/>
  <c r="G14" i="6"/>
  <c r="G15" i="6"/>
  <c r="G13" i="6"/>
  <c r="G12" i="6"/>
  <c r="K12" i="6"/>
  <c r="J7" i="6"/>
  <c r="K10" i="6"/>
  <c r="K8" i="6"/>
  <c r="G11" i="6"/>
  <c r="G10" i="6"/>
  <c r="G9" i="6"/>
  <c r="J9" i="6"/>
  <c r="K5" i="6"/>
  <c r="G8" i="6"/>
  <c r="K6" i="6"/>
  <c r="G7" i="6"/>
  <c r="J11" i="6"/>
  <c r="H81" i="6"/>
  <c r="L79" i="6"/>
  <c r="H80" i="6"/>
  <c r="L78" i="6"/>
  <c r="H79" i="6"/>
  <c r="J81" i="6"/>
  <c r="L77" i="6"/>
  <c r="H78" i="6"/>
  <c r="J80" i="6"/>
  <c r="L76" i="6"/>
  <c r="L75" i="6"/>
  <c r="L74" i="6"/>
  <c r="L73" i="6"/>
  <c r="H77" i="6"/>
  <c r="H76" i="6"/>
  <c r="L72" i="6"/>
  <c r="H75" i="6"/>
  <c r="H74" i="6"/>
  <c r="H64" i="6"/>
  <c r="H66" i="6"/>
  <c r="H65" i="6"/>
  <c r="H63" i="6"/>
  <c r="H62" i="6"/>
  <c r="J66" i="6"/>
  <c r="J65" i="6"/>
  <c r="J64" i="6"/>
  <c r="J57" i="6"/>
  <c r="J56" i="6"/>
  <c r="J55" i="6"/>
  <c r="J54" i="6"/>
  <c r="J53" i="6"/>
  <c r="H56" i="6"/>
  <c r="H57" i="6"/>
  <c r="H55" i="6"/>
  <c r="H52" i="6"/>
  <c r="L57" i="6"/>
  <c r="H53" i="6"/>
  <c r="J52" i="6"/>
  <c r="H54" i="6"/>
  <c r="L54" i="6"/>
  <c r="H51" i="6"/>
  <c r="H50" i="6"/>
  <c r="H49" i="6"/>
  <c r="H45" i="6"/>
  <c r="J50" i="6"/>
  <c r="L47" i="6"/>
  <c r="L51" i="6"/>
  <c r="H46" i="6"/>
  <c r="L48" i="6"/>
  <c r="J49" i="6"/>
  <c r="H48" i="6"/>
  <c r="H42" i="6"/>
  <c r="J40" i="6"/>
  <c r="J39" i="6"/>
  <c r="J38" i="6"/>
  <c r="H41" i="6"/>
  <c r="H35" i="6"/>
  <c r="J34" i="6"/>
  <c r="L41" i="6"/>
  <c r="H40" i="6"/>
  <c r="H39" i="6"/>
  <c r="J37" i="6"/>
  <c r="J36" i="6"/>
  <c r="H34" i="6"/>
  <c r="J33" i="6"/>
  <c r="L31" i="6"/>
  <c r="L30" i="6"/>
  <c r="L29" i="6"/>
  <c r="H31" i="6"/>
  <c r="L26" i="6"/>
  <c r="L28" i="6"/>
  <c r="L25" i="6"/>
  <c r="J20" i="6"/>
  <c r="J18" i="6"/>
  <c r="J17" i="6"/>
  <c r="H21" i="6"/>
  <c r="H20" i="6"/>
  <c r="H19" i="6"/>
  <c r="H7" i="6"/>
  <c r="J6" i="6"/>
  <c r="L7" i="6"/>
  <c r="H6" i="6"/>
  <c r="J5" i="6"/>
  <c r="L5" i="6"/>
  <c r="L4" i="6"/>
  <c r="J4" i="6"/>
  <c r="L3" i="6"/>
  <c r="H2" i="6"/>
  <c r="J2" i="6"/>
  <c r="J3" i="6"/>
  <c r="F11" i="6" l="1"/>
  <c r="F16" i="6"/>
  <c r="F17" i="6"/>
  <c r="B13" i="1"/>
  <c r="B15" i="1" s="1"/>
  <c r="B13" i="3"/>
  <c r="F16" i="3" s="1"/>
  <c r="B13" i="5"/>
  <c r="E19" i="4"/>
  <c r="H19" i="4"/>
  <c r="E23" i="4"/>
  <c r="H23" i="4"/>
  <c r="B13" i="4"/>
  <c r="H16" i="4" s="1"/>
  <c r="B13" i="2"/>
  <c r="E16" i="2" s="1"/>
  <c r="H24" i="4" l="1"/>
  <c r="H20" i="4"/>
  <c r="G16" i="4"/>
  <c r="E24" i="4"/>
  <c r="E20" i="4"/>
  <c r="D16" i="4"/>
  <c r="E22" i="4"/>
  <c r="D18" i="4"/>
  <c r="H22" i="4"/>
  <c r="H18" i="4"/>
  <c r="I15" i="4"/>
  <c r="H21" i="4"/>
  <c r="G17" i="4"/>
  <c r="F15" i="4"/>
  <c r="E21" i="4"/>
  <c r="D17" i="4"/>
  <c r="H15" i="4"/>
  <c r="G24" i="4"/>
  <c r="G23" i="4"/>
  <c r="G22" i="4"/>
  <c r="G21" i="4"/>
  <c r="G20" i="4"/>
  <c r="G19" i="4"/>
  <c r="G18" i="4"/>
  <c r="F17" i="4"/>
  <c r="F16" i="4"/>
  <c r="F18" i="4"/>
  <c r="G15" i="4"/>
  <c r="F24" i="4"/>
  <c r="F23" i="4"/>
  <c r="F22" i="4"/>
  <c r="F21" i="4"/>
  <c r="F20" i="4"/>
  <c r="F19" i="4"/>
  <c r="E18" i="4"/>
  <c r="E17" i="4"/>
  <c r="E16" i="4"/>
  <c r="C22" i="1"/>
  <c r="E15" i="4"/>
  <c r="D24" i="4"/>
  <c r="D23" i="4"/>
  <c r="D22" i="4"/>
  <c r="D21" i="4"/>
  <c r="D20" i="4"/>
  <c r="D19" i="4"/>
  <c r="C18" i="4"/>
  <c r="C17" i="4"/>
  <c r="C16" i="4"/>
  <c r="C20" i="1"/>
  <c r="D15" i="4"/>
  <c r="C24" i="4"/>
  <c r="C23" i="4"/>
  <c r="C22" i="4"/>
  <c r="C21" i="4"/>
  <c r="C20" i="4"/>
  <c r="C19" i="4"/>
  <c r="B18" i="4"/>
  <c r="B17" i="4"/>
  <c r="B16" i="4"/>
  <c r="F19" i="1"/>
  <c r="B21" i="4"/>
  <c r="H16" i="5"/>
  <c r="B15" i="5"/>
  <c r="E19" i="5"/>
  <c r="H18" i="1"/>
  <c r="C15" i="4"/>
  <c r="B24" i="4"/>
  <c r="B23" i="4"/>
  <c r="B22" i="4"/>
  <c r="B20" i="4"/>
  <c r="B19" i="4"/>
  <c r="I17" i="4"/>
  <c r="I16" i="4"/>
  <c r="B15" i="4"/>
  <c r="I24" i="4"/>
  <c r="I23" i="4"/>
  <c r="I22" i="4"/>
  <c r="I21" i="4"/>
  <c r="I20" i="4"/>
  <c r="I19" i="4"/>
  <c r="I18" i="4"/>
  <c r="H17" i="4"/>
  <c r="I24" i="2"/>
  <c r="I23" i="1"/>
  <c r="G19" i="5"/>
  <c r="I15" i="5"/>
  <c r="H24" i="5"/>
  <c r="H23" i="5"/>
  <c r="H22" i="5"/>
  <c r="H21" i="5"/>
  <c r="H20" i="5"/>
  <c r="H19" i="5"/>
  <c r="H18" i="5"/>
  <c r="G17" i="5"/>
  <c r="G16" i="5"/>
  <c r="H15" i="5"/>
  <c r="G22" i="5"/>
  <c r="F17" i="5"/>
  <c r="G15" i="5"/>
  <c r="F24" i="5"/>
  <c r="F23" i="5"/>
  <c r="F22" i="5"/>
  <c r="F21" i="5"/>
  <c r="F20" i="5"/>
  <c r="F19" i="5"/>
  <c r="E18" i="5"/>
  <c r="E17" i="5"/>
  <c r="E16" i="5"/>
  <c r="G21" i="5"/>
  <c r="F16" i="5"/>
  <c r="F15" i="5"/>
  <c r="E24" i="5"/>
  <c r="E23" i="5"/>
  <c r="E22" i="5"/>
  <c r="E21" i="5"/>
  <c r="E20" i="5"/>
  <c r="D18" i="5"/>
  <c r="D17" i="5"/>
  <c r="D16" i="5"/>
  <c r="G23" i="5"/>
  <c r="F18" i="5"/>
  <c r="E15" i="5"/>
  <c r="D24" i="5"/>
  <c r="D23" i="5"/>
  <c r="D22" i="5"/>
  <c r="D21" i="5"/>
  <c r="D20" i="5"/>
  <c r="D19" i="5"/>
  <c r="C18" i="5"/>
  <c r="C17" i="5"/>
  <c r="C16" i="5"/>
  <c r="G24" i="5"/>
  <c r="G20" i="5"/>
  <c r="G18" i="5"/>
  <c r="D15" i="5"/>
  <c r="C24" i="5"/>
  <c r="C23" i="5"/>
  <c r="C22" i="5"/>
  <c r="C21" i="5"/>
  <c r="C20" i="5"/>
  <c r="C19" i="5"/>
  <c r="B18" i="5"/>
  <c r="B17" i="5"/>
  <c r="B16" i="5"/>
  <c r="C15" i="5"/>
  <c r="B24" i="5"/>
  <c r="B23" i="5"/>
  <c r="B22" i="5"/>
  <c r="B21" i="5"/>
  <c r="B20" i="5"/>
  <c r="B19" i="5"/>
  <c r="I17" i="5"/>
  <c r="I16" i="5"/>
  <c r="I24" i="5"/>
  <c r="I23" i="5"/>
  <c r="I22" i="5"/>
  <c r="I21" i="5"/>
  <c r="I20" i="5"/>
  <c r="I19" i="5"/>
  <c r="I18" i="5"/>
  <c r="H17" i="5"/>
  <c r="F30" i="6"/>
  <c r="V30" i="6"/>
  <c r="F6" i="6"/>
  <c r="P6" i="6" s="1"/>
  <c r="V6" i="6"/>
  <c r="F53" i="6"/>
  <c r="V53" i="6"/>
  <c r="F60" i="6"/>
  <c r="V60" i="6"/>
  <c r="F52" i="6"/>
  <c r="V52" i="6"/>
  <c r="F44" i="6"/>
  <c r="N44" i="6" s="1"/>
  <c r="V44" i="6"/>
  <c r="F36" i="6"/>
  <c r="V36" i="6"/>
  <c r="F28" i="6"/>
  <c r="V28" i="6"/>
  <c r="F20" i="6"/>
  <c r="V20" i="6"/>
  <c r="F12" i="6"/>
  <c r="O12" i="6" s="1"/>
  <c r="V12" i="6"/>
  <c r="F4" i="6"/>
  <c r="V4" i="6"/>
  <c r="F75" i="6"/>
  <c r="V75" i="6"/>
  <c r="F67" i="6"/>
  <c r="V67" i="6"/>
  <c r="F59" i="6"/>
  <c r="M59" i="6" s="1"/>
  <c r="V59" i="6"/>
  <c r="F38" i="6"/>
  <c r="V38" i="6"/>
  <c r="F61" i="6"/>
  <c r="V61" i="6"/>
  <c r="F29" i="6"/>
  <c r="V29" i="6"/>
  <c r="F68" i="6"/>
  <c r="N68" i="6" s="1"/>
  <c r="V68" i="6"/>
  <c r="F51" i="6"/>
  <c r="V51" i="6"/>
  <c r="F43" i="6"/>
  <c r="M43" i="6" s="1"/>
  <c r="V43" i="6"/>
  <c r="F35" i="6"/>
  <c r="V35" i="6"/>
  <c r="F27" i="6"/>
  <c r="M27" i="6" s="1"/>
  <c r="V27" i="6"/>
  <c r="F19" i="6"/>
  <c r="V19" i="6"/>
  <c r="N11" i="6"/>
  <c r="V11" i="6"/>
  <c r="F3" i="6"/>
  <c r="M3" i="6" s="1"/>
  <c r="V3" i="6"/>
  <c r="F74" i="6"/>
  <c r="N74" i="6" s="1"/>
  <c r="V74" i="6"/>
  <c r="F66" i="6"/>
  <c r="V66" i="6"/>
  <c r="F58" i="6"/>
  <c r="N58" i="6" s="1"/>
  <c r="V58" i="6"/>
  <c r="F14" i="6"/>
  <c r="M14" i="6" s="1"/>
  <c r="V14" i="6"/>
  <c r="F5" i="6"/>
  <c r="P5" i="6" s="1"/>
  <c r="V5" i="6"/>
  <c r="F50" i="6"/>
  <c r="V50" i="6"/>
  <c r="F42" i="6"/>
  <c r="V42" i="6"/>
  <c r="F34" i="6"/>
  <c r="V34" i="6"/>
  <c r="F26" i="6"/>
  <c r="P26" i="6" s="1"/>
  <c r="V26" i="6"/>
  <c r="F18" i="6"/>
  <c r="V18" i="6"/>
  <c r="F10" i="6"/>
  <c r="V10" i="6"/>
  <c r="F81" i="6"/>
  <c r="V81" i="6"/>
  <c r="F73" i="6"/>
  <c r="N73" i="6" s="1"/>
  <c r="V73" i="6"/>
  <c r="F65" i="6"/>
  <c r="V65" i="6"/>
  <c r="F57" i="6"/>
  <c r="V57" i="6"/>
  <c r="F69" i="6"/>
  <c r="V69" i="6"/>
  <c r="F37" i="6"/>
  <c r="M37" i="6" s="1"/>
  <c r="V37" i="6"/>
  <c r="F21" i="6"/>
  <c r="V21" i="6"/>
  <c r="F49" i="6"/>
  <c r="V49" i="6"/>
  <c r="F41" i="6"/>
  <c r="V41" i="6"/>
  <c r="F33" i="6"/>
  <c r="N33" i="6" s="1"/>
  <c r="V33" i="6"/>
  <c r="F25" i="6"/>
  <c r="V25" i="6"/>
  <c r="V17" i="6"/>
  <c r="F9" i="6"/>
  <c r="V9" i="6"/>
  <c r="F80" i="6"/>
  <c r="M80" i="6" s="1"/>
  <c r="V80" i="6"/>
  <c r="F72" i="6"/>
  <c r="M72" i="6" s="1"/>
  <c r="V72" i="6"/>
  <c r="F64" i="6"/>
  <c r="V64" i="6"/>
  <c r="F56" i="6"/>
  <c r="P56" i="6" s="1"/>
  <c r="V56" i="6"/>
  <c r="F54" i="6"/>
  <c r="M54" i="6" s="1"/>
  <c r="V54" i="6"/>
  <c r="F77" i="6"/>
  <c r="N77" i="6" s="1"/>
  <c r="V77" i="6"/>
  <c r="F76" i="6"/>
  <c r="V76" i="6"/>
  <c r="F48" i="6"/>
  <c r="M48" i="6" s="1"/>
  <c r="V48" i="6"/>
  <c r="F40" i="6"/>
  <c r="N40" i="6" s="1"/>
  <c r="V40" i="6"/>
  <c r="F32" i="6"/>
  <c r="O32" i="6" s="1"/>
  <c r="V32" i="6"/>
  <c r="F24" i="6"/>
  <c r="N24" i="6" s="1"/>
  <c r="V24" i="6"/>
  <c r="V16" i="6"/>
  <c r="F8" i="6"/>
  <c r="V8" i="6"/>
  <c r="F79" i="6"/>
  <c r="O79" i="6" s="1"/>
  <c r="V79" i="6"/>
  <c r="F71" i="6"/>
  <c r="V71" i="6"/>
  <c r="F63" i="6"/>
  <c r="O63" i="6" s="1"/>
  <c r="V63" i="6"/>
  <c r="F55" i="6"/>
  <c r="V55" i="6"/>
  <c r="F46" i="6"/>
  <c r="P46" i="6" s="1"/>
  <c r="V46" i="6"/>
  <c r="F22" i="6"/>
  <c r="N22" i="6" s="1"/>
  <c r="V22" i="6"/>
  <c r="F45" i="6"/>
  <c r="N45" i="6" s="1"/>
  <c r="V45" i="6"/>
  <c r="F13" i="6"/>
  <c r="V13" i="6"/>
  <c r="F47" i="6"/>
  <c r="N47" i="6" s="1"/>
  <c r="V47" i="6"/>
  <c r="F39" i="6"/>
  <c r="V39" i="6"/>
  <c r="F31" i="6"/>
  <c r="P31" i="6" s="1"/>
  <c r="V31" i="6"/>
  <c r="F23" i="6"/>
  <c r="V23" i="6"/>
  <c r="F15" i="6"/>
  <c r="O15" i="6" s="1"/>
  <c r="V15" i="6"/>
  <c r="F7" i="6"/>
  <c r="O7" i="6" s="1"/>
  <c r="V7" i="6"/>
  <c r="F78" i="6"/>
  <c r="N78" i="6" s="1"/>
  <c r="V78" i="6"/>
  <c r="F70" i="6"/>
  <c r="V70" i="6"/>
  <c r="F62" i="6"/>
  <c r="M62" i="6" s="1"/>
  <c r="V62" i="6"/>
  <c r="F2" i="6"/>
  <c r="M2" i="6" s="1"/>
  <c r="M81" i="6"/>
  <c r="O81" i="6"/>
  <c r="N81" i="6"/>
  <c r="P81" i="6"/>
  <c r="O80" i="6"/>
  <c r="N79" i="6"/>
  <c r="P79" i="6"/>
  <c r="M74" i="6"/>
  <c r="O74" i="6"/>
  <c r="M73" i="6"/>
  <c r="O72" i="6"/>
  <c r="O68" i="6"/>
  <c r="P67" i="6"/>
  <c r="O67" i="6"/>
  <c r="N67" i="6"/>
  <c r="M67" i="6"/>
  <c r="N66" i="6"/>
  <c r="P66" i="6"/>
  <c r="M66" i="6"/>
  <c r="O66" i="6"/>
  <c r="M65" i="6"/>
  <c r="P65" i="6"/>
  <c r="N65" i="6"/>
  <c r="O65" i="6"/>
  <c r="N62" i="6"/>
  <c r="M70" i="6"/>
  <c r="O70" i="6"/>
  <c r="N70" i="6"/>
  <c r="P70" i="6"/>
  <c r="P69" i="6"/>
  <c r="M69" i="6"/>
  <c r="O69" i="6"/>
  <c r="N69" i="6"/>
  <c r="P52" i="6"/>
  <c r="M52" i="6"/>
  <c r="O52" i="6"/>
  <c r="N52" i="6"/>
  <c r="M53" i="6"/>
  <c r="O53" i="6"/>
  <c r="P53" i="6"/>
  <c r="N53" i="6"/>
  <c r="P59" i="6"/>
  <c r="O59" i="6"/>
  <c r="M56" i="6"/>
  <c r="O56" i="6"/>
  <c r="N56" i="6"/>
  <c r="M55" i="6"/>
  <c r="O55" i="6"/>
  <c r="P55" i="6"/>
  <c r="N55" i="6"/>
  <c r="P54" i="6"/>
  <c r="N54" i="6"/>
  <c r="M51" i="6"/>
  <c r="P51" i="6"/>
  <c r="N51" i="6"/>
  <c r="O51" i="6"/>
  <c r="M47" i="6"/>
  <c r="O47" i="6"/>
  <c r="O46" i="6"/>
  <c r="M50" i="6"/>
  <c r="P50" i="6"/>
  <c r="N50" i="6"/>
  <c r="O50" i="6"/>
  <c r="O44" i="6"/>
  <c r="O33" i="6"/>
  <c r="M33" i="6"/>
  <c r="M36" i="6"/>
  <c r="P36" i="6"/>
  <c r="N36" i="6"/>
  <c r="O36" i="6"/>
  <c r="N41" i="6"/>
  <c r="P41" i="6"/>
  <c r="M41" i="6"/>
  <c r="O41" i="6"/>
  <c r="P40" i="6"/>
  <c r="M35" i="6"/>
  <c r="P35" i="6"/>
  <c r="N35" i="6"/>
  <c r="O35" i="6"/>
  <c r="P37" i="6"/>
  <c r="O37" i="6"/>
  <c r="M34" i="6"/>
  <c r="N34" i="6"/>
  <c r="O34" i="6"/>
  <c r="P34" i="6"/>
  <c r="O38" i="6"/>
  <c r="N38" i="6"/>
  <c r="P38" i="6"/>
  <c r="M38" i="6"/>
  <c r="M29" i="6"/>
  <c r="N29" i="6"/>
  <c r="P29" i="6"/>
  <c r="O29" i="6"/>
  <c r="O27" i="6"/>
  <c r="N27" i="6"/>
  <c r="M26" i="6"/>
  <c r="M30" i="6"/>
  <c r="P30" i="6"/>
  <c r="O30" i="6"/>
  <c r="N30" i="6"/>
  <c r="N25" i="6"/>
  <c r="M25" i="6"/>
  <c r="P25" i="6"/>
  <c r="O25" i="6"/>
  <c r="O23" i="6"/>
  <c r="M23" i="6"/>
  <c r="N23" i="6"/>
  <c r="P23" i="6"/>
  <c r="O20" i="6"/>
  <c r="M20" i="6"/>
  <c r="N20" i="6"/>
  <c r="P20" i="6"/>
  <c r="M21" i="6"/>
  <c r="O21" i="6"/>
  <c r="P21" i="6"/>
  <c r="N21" i="6"/>
  <c r="P15" i="6"/>
  <c r="P14" i="6"/>
  <c r="N14" i="6"/>
  <c r="O14" i="6"/>
  <c r="M19" i="6"/>
  <c r="N19" i="6"/>
  <c r="O19" i="6"/>
  <c r="P19" i="6"/>
  <c r="N16" i="6"/>
  <c r="P16" i="6"/>
  <c r="M16" i="6"/>
  <c r="O16" i="6"/>
  <c r="N13" i="6"/>
  <c r="M13" i="6"/>
  <c r="P13" i="6"/>
  <c r="O13" i="6"/>
  <c r="O18" i="6"/>
  <c r="N18" i="6"/>
  <c r="P18" i="6"/>
  <c r="M18" i="6"/>
  <c r="M12" i="6"/>
  <c r="N5" i="6"/>
  <c r="M5" i="6"/>
  <c r="M8" i="6"/>
  <c r="P8" i="6"/>
  <c r="N8" i="6"/>
  <c r="O8" i="6"/>
  <c r="N4" i="6"/>
  <c r="M4" i="6"/>
  <c r="O4" i="6"/>
  <c r="P4" i="6"/>
  <c r="M6" i="6"/>
  <c r="E24" i="1"/>
  <c r="E23" i="3"/>
  <c r="E22" i="3"/>
  <c r="E21" i="3"/>
  <c r="E20" i="3"/>
  <c r="E19" i="3"/>
  <c r="E18" i="3"/>
  <c r="E17" i="3"/>
  <c r="E16" i="3"/>
  <c r="E15" i="3"/>
  <c r="D23" i="3"/>
  <c r="D21" i="3"/>
  <c r="D19" i="3"/>
  <c r="D16" i="3"/>
  <c r="D15" i="3"/>
  <c r="C24" i="3"/>
  <c r="C23" i="3"/>
  <c r="C22" i="3"/>
  <c r="C21" i="3"/>
  <c r="C20" i="3"/>
  <c r="C19" i="3"/>
  <c r="C18" i="3"/>
  <c r="C17" i="3"/>
  <c r="C16" i="3"/>
  <c r="D24" i="3"/>
  <c r="D22" i="3"/>
  <c r="D20" i="3"/>
  <c r="D18" i="3"/>
  <c r="D17" i="3"/>
  <c r="C15" i="3"/>
  <c r="B24" i="3"/>
  <c r="B23" i="3"/>
  <c r="B22" i="3"/>
  <c r="B21" i="3"/>
  <c r="B20" i="3"/>
  <c r="B19" i="3"/>
  <c r="B18" i="3"/>
  <c r="B17" i="3"/>
  <c r="B16" i="3"/>
  <c r="E24" i="3"/>
  <c r="I24" i="3"/>
  <c r="I22" i="3"/>
  <c r="I20" i="3"/>
  <c r="I18" i="3"/>
  <c r="I16" i="3"/>
  <c r="I15" i="3"/>
  <c r="H23" i="3"/>
  <c r="H21" i="3"/>
  <c r="H19" i="3"/>
  <c r="H17" i="3"/>
  <c r="H15" i="3"/>
  <c r="G24" i="3"/>
  <c r="G23" i="3"/>
  <c r="G22" i="3"/>
  <c r="G21" i="3"/>
  <c r="G20" i="3"/>
  <c r="G19" i="3"/>
  <c r="G18" i="3"/>
  <c r="G17" i="3"/>
  <c r="G16" i="3"/>
  <c r="F15" i="3"/>
  <c r="B15" i="3"/>
  <c r="I23" i="3"/>
  <c r="I21" i="3"/>
  <c r="I19" i="3"/>
  <c r="I17" i="3"/>
  <c r="H24" i="3"/>
  <c r="H22" i="3"/>
  <c r="H20" i="3"/>
  <c r="H18" i="3"/>
  <c r="H16" i="3"/>
  <c r="G15" i="3"/>
  <c r="F24" i="3"/>
  <c r="F23" i="3"/>
  <c r="F22" i="3"/>
  <c r="F21" i="3"/>
  <c r="F20" i="3"/>
  <c r="F19" i="3"/>
  <c r="F18" i="3"/>
  <c r="F17" i="3"/>
  <c r="B16" i="2"/>
  <c r="C16" i="2"/>
  <c r="D16" i="2"/>
  <c r="F16" i="2"/>
  <c r="G16" i="2"/>
  <c r="H16" i="2"/>
  <c r="I16" i="2"/>
  <c r="B17" i="2"/>
  <c r="C17" i="2"/>
  <c r="D17" i="2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B19" i="2"/>
  <c r="C19" i="2"/>
  <c r="D19" i="2"/>
  <c r="E19" i="2"/>
  <c r="F19" i="2"/>
  <c r="G19" i="2"/>
  <c r="H19" i="2"/>
  <c r="I19" i="2"/>
  <c r="B20" i="2"/>
  <c r="C20" i="2"/>
  <c r="D20" i="2"/>
  <c r="E20" i="2"/>
  <c r="F20" i="2"/>
  <c r="G20" i="2"/>
  <c r="H20" i="2"/>
  <c r="I20" i="2"/>
  <c r="B21" i="2"/>
  <c r="C21" i="2"/>
  <c r="D21" i="2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B23" i="2"/>
  <c r="C23" i="2"/>
  <c r="D23" i="2"/>
  <c r="E23" i="2"/>
  <c r="F23" i="2"/>
  <c r="G23" i="2"/>
  <c r="H23" i="2"/>
  <c r="I23" i="2"/>
  <c r="B24" i="2"/>
  <c r="C24" i="2"/>
  <c r="D24" i="2"/>
  <c r="E24" i="2"/>
  <c r="F24" i="2"/>
  <c r="G24" i="2"/>
  <c r="H24" i="2"/>
  <c r="C15" i="2"/>
  <c r="D15" i="2"/>
  <c r="E15" i="2"/>
  <c r="F15" i="2"/>
  <c r="G15" i="2"/>
  <c r="H15" i="2"/>
  <c r="I15" i="2"/>
  <c r="B15" i="2"/>
  <c r="C23" i="1"/>
  <c r="C19" i="1"/>
  <c r="C16" i="1"/>
  <c r="B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I18" i="1"/>
  <c r="B19" i="1"/>
  <c r="D19" i="1"/>
  <c r="E19" i="1"/>
  <c r="G19" i="1"/>
  <c r="H19" i="1"/>
  <c r="I19" i="1"/>
  <c r="B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D22" i="1"/>
  <c r="E22" i="1"/>
  <c r="F22" i="1"/>
  <c r="G22" i="1"/>
  <c r="H22" i="1"/>
  <c r="I22" i="1"/>
  <c r="B23" i="1"/>
  <c r="D23" i="1"/>
  <c r="E23" i="1"/>
  <c r="F23" i="1"/>
  <c r="G23" i="1"/>
  <c r="H23" i="1"/>
  <c r="B24" i="1"/>
  <c r="C24" i="1"/>
  <c r="D24" i="1"/>
  <c r="F24" i="1"/>
  <c r="G24" i="1"/>
  <c r="H24" i="1"/>
  <c r="I24" i="1"/>
  <c r="C15" i="1"/>
  <c r="D15" i="1"/>
  <c r="E15" i="1"/>
  <c r="F15" i="1"/>
  <c r="G15" i="1"/>
  <c r="H15" i="1"/>
  <c r="I15" i="1"/>
  <c r="O6" i="6" l="1"/>
  <c r="N12" i="6"/>
  <c r="N15" i="6"/>
  <c r="N26" i="6"/>
  <c r="P33" i="6"/>
  <c r="P47" i="6"/>
  <c r="P62" i="6"/>
  <c r="M68" i="6"/>
  <c r="P73" i="6"/>
  <c r="P77" i="6"/>
  <c r="M77" i="6"/>
  <c r="N6" i="6"/>
  <c r="P12" i="6"/>
  <c r="P27" i="6"/>
  <c r="N37" i="6"/>
  <c r="M40" i="6"/>
  <c r="N59" i="6"/>
  <c r="M63" i="6"/>
  <c r="P68" i="6"/>
  <c r="P74" i="6"/>
  <c r="M79" i="6"/>
  <c r="P32" i="6"/>
  <c r="P44" i="6"/>
  <c r="N46" i="6"/>
  <c r="N72" i="6"/>
  <c r="N32" i="6"/>
  <c r="O5" i="6"/>
  <c r="M15" i="6"/>
  <c r="O26" i="6"/>
  <c r="M32" i="6"/>
  <c r="M44" i="6"/>
  <c r="M46" i="6"/>
  <c r="O62" i="6"/>
  <c r="O73" i="6"/>
  <c r="O77" i="6"/>
  <c r="P72" i="6"/>
  <c r="N9" i="6"/>
  <c r="P9" i="6"/>
  <c r="P80" i="6"/>
  <c r="N63" i="6"/>
  <c r="P63" i="6"/>
  <c r="N80" i="6"/>
  <c r="M31" i="6"/>
  <c r="P78" i="6"/>
  <c r="N31" i="6"/>
  <c r="O40" i="6"/>
  <c r="O54" i="6"/>
  <c r="O78" i="6"/>
  <c r="O31" i="6"/>
  <c r="M78" i="6"/>
  <c r="N48" i="6"/>
  <c r="O45" i="6"/>
  <c r="O48" i="6"/>
  <c r="M45" i="6"/>
  <c r="P48" i="6"/>
  <c r="P45" i="6"/>
  <c r="O3" i="6"/>
  <c r="N3" i="6"/>
  <c r="O9" i="6"/>
  <c r="P3" i="6"/>
  <c r="M9" i="6"/>
  <c r="M7" i="6"/>
  <c r="N39" i="6"/>
  <c r="N71" i="6"/>
  <c r="O24" i="6"/>
  <c r="N76" i="6"/>
  <c r="P17" i="6"/>
  <c r="M57" i="6"/>
  <c r="M42" i="6"/>
  <c r="P60" i="6"/>
  <c r="O42" i="6"/>
  <c r="O75" i="6"/>
  <c r="P75" i="6"/>
  <c r="M61" i="6"/>
  <c r="O2" i="6"/>
  <c r="M22" i="6"/>
  <c r="P64" i="6"/>
  <c r="O49" i="6"/>
  <c r="O10" i="6"/>
  <c r="O58" i="6"/>
  <c r="N28" i="6"/>
  <c r="N60" i="6"/>
  <c r="M11" i="6"/>
  <c r="O71" i="6"/>
  <c r="N43" i="6"/>
  <c r="M49" i="6"/>
  <c r="O22" i="6"/>
  <c r="N42" i="6"/>
  <c r="M58" i="6"/>
  <c r="P7" i="6"/>
  <c r="P11" i="6"/>
  <c r="P22" i="6"/>
  <c r="P24" i="6"/>
  <c r="P43" i="6"/>
  <c r="P42" i="6"/>
  <c r="P49" i="6"/>
  <c r="P58" i="6"/>
  <c r="O60" i="6"/>
  <c r="P71" i="6"/>
  <c r="M75" i="6"/>
  <c r="O11" i="6"/>
  <c r="M24" i="6"/>
  <c r="N7" i="6"/>
  <c r="O43" i="6"/>
  <c r="N49" i="6"/>
  <c r="M60" i="6"/>
  <c r="M71" i="6"/>
  <c r="N75" i="6"/>
  <c r="P2" i="6"/>
  <c r="P10" i="6"/>
  <c r="N17" i="6"/>
  <c r="M28" i="6"/>
  <c r="O39" i="6"/>
  <c r="P57" i="6"/>
  <c r="O61" i="6"/>
  <c r="O64" i="6"/>
  <c r="M76" i="6"/>
  <c r="N10" i="6"/>
  <c r="M17" i="6"/>
  <c r="P28" i="6"/>
  <c r="P39" i="6"/>
  <c r="N57" i="6"/>
  <c r="P61" i="6"/>
  <c r="N64" i="6"/>
  <c r="P76" i="6"/>
  <c r="N2" i="6"/>
  <c r="M10" i="6"/>
  <c r="O17" i="6"/>
  <c r="O28" i="6"/>
  <c r="M39" i="6"/>
  <c r="O57" i="6"/>
  <c r="N61" i="6"/>
  <c r="M64" i="6"/>
  <c r="O76" i="6"/>
</calcChain>
</file>

<file path=xl/sharedStrings.xml><?xml version="1.0" encoding="utf-8"?>
<sst xmlns="http://schemas.openxmlformats.org/spreadsheetml/2006/main" count="282" uniqueCount="127">
  <si>
    <t>单位：亿元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</si>
  <si>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</si>
  <si>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</si>
  <si>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</si>
  <si>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安徽</t>
    <phoneticPr fontId="1" type="noConversion"/>
  </si>
  <si>
    <t>内蒙古</t>
    <phoneticPr fontId="1" type="noConversion"/>
  </si>
  <si>
    <t>甘肃</t>
    <phoneticPr fontId="1" type="noConversion"/>
  </si>
  <si>
    <t>宁夏</t>
    <phoneticPr fontId="1" type="noConversion"/>
  </si>
  <si>
    <t>新疆</t>
    <phoneticPr fontId="1" type="noConversion"/>
  </si>
  <si>
    <t>单位：万人</t>
    <phoneticPr fontId="1" type="noConversion"/>
  </si>
  <si>
    <t>单位：万吨标准煤</t>
    <phoneticPr fontId="1" type="noConversion"/>
  </si>
  <si>
    <t>-b1</t>
  </si>
  <si>
    <t>x1</t>
  </si>
  <si>
    <t>x2</t>
  </si>
  <si>
    <t>x3</t>
  </si>
  <si>
    <t>y1+b1</t>
  </si>
  <si>
    <t>x1*x1</t>
  </si>
  <si>
    <t>x2*x2</t>
  </si>
  <si>
    <t>x3*x3</t>
  </si>
  <si>
    <t>x1*x2</t>
  </si>
  <si>
    <t>x1*x3</t>
  </si>
  <si>
    <t>x2*x3</t>
  </si>
  <si>
    <t>(y1+b1)^2</t>
  </si>
  <si>
    <t>x1*(y1+b1)</t>
  </si>
  <si>
    <t>x2*(y1+b1)</t>
  </si>
  <si>
    <t>x3*(y1+b1)</t>
  </si>
  <si>
    <t>y1</t>
    <phoneticPr fontId="1" type="noConversion"/>
  </si>
  <si>
    <t>上海2011</t>
    <phoneticPr fontId="1" type="noConversion"/>
  </si>
  <si>
    <t>上海2012</t>
  </si>
  <si>
    <t>上海2013</t>
  </si>
  <si>
    <t>上海2014</t>
  </si>
  <si>
    <t>上海2015</t>
  </si>
  <si>
    <t>上海2016</t>
  </si>
  <si>
    <t>上海2017</t>
  </si>
  <si>
    <t>上海2018</t>
  </si>
  <si>
    <t>上海2019</t>
  </si>
  <si>
    <t>上海2020</t>
  </si>
  <si>
    <t>江苏2011</t>
    <phoneticPr fontId="1" type="noConversion"/>
  </si>
  <si>
    <t>江苏2012</t>
  </si>
  <si>
    <t>江苏2013</t>
  </si>
  <si>
    <t>江苏2014</t>
  </si>
  <si>
    <t>江苏2015</t>
  </si>
  <si>
    <t>江苏2016</t>
  </si>
  <si>
    <t>江苏2017</t>
  </si>
  <si>
    <t>江苏2018</t>
  </si>
  <si>
    <t>江苏2019</t>
  </si>
  <si>
    <t>江苏2020</t>
  </si>
  <si>
    <t>浙江2011</t>
    <phoneticPr fontId="1" type="noConversion"/>
  </si>
  <si>
    <t>浙江2012</t>
  </si>
  <si>
    <t>浙江2013</t>
  </si>
  <si>
    <t>浙江2014</t>
  </si>
  <si>
    <t>浙江2015</t>
  </si>
  <si>
    <t>浙江2016</t>
  </si>
  <si>
    <t>浙江2017</t>
  </si>
  <si>
    <t>浙江2018</t>
  </si>
  <si>
    <t>浙江2019</t>
  </si>
  <si>
    <t>浙江2020</t>
  </si>
  <si>
    <t>安徽2011</t>
    <phoneticPr fontId="1" type="noConversion"/>
  </si>
  <si>
    <t>安徽2012</t>
  </si>
  <si>
    <t>安徽2013</t>
  </si>
  <si>
    <t>安徽2014</t>
  </si>
  <si>
    <t>安徽2015</t>
  </si>
  <si>
    <t>安徽2016</t>
  </si>
  <si>
    <t>安徽2017</t>
  </si>
  <si>
    <t>安徽2018</t>
  </si>
  <si>
    <t>安徽2019</t>
  </si>
  <si>
    <t>安徽2020</t>
  </si>
  <si>
    <t>内蒙古2011</t>
    <phoneticPr fontId="1" type="noConversion"/>
  </si>
  <si>
    <t>内蒙古2012</t>
  </si>
  <si>
    <t>内蒙古2013</t>
  </si>
  <si>
    <t>内蒙古2014</t>
  </si>
  <si>
    <t>内蒙古2015</t>
  </si>
  <si>
    <t>内蒙古2016</t>
  </si>
  <si>
    <t>内蒙古2017</t>
  </si>
  <si>
    <t>内蒙古2018</t>
  </si>
  <si>
    <t>内蒙古2019</t>
  </si>
  <si>
    <t>内蒙古2020</t>
  </si>
  <si>
    <t>甘肃2011</t>
    <phoneticPr fontId="1" type="noConversion"/>
  </si>
  <si>
    <t>甘肃2012</t>
  </si>
  <si>
    <t>甘肃2013</t>
  </si>
  <si>
    <t>甘肃2014</t>
  </si>
  <si>
    <t>甘肃2015</t>
  </si>
  <si>
    <t>甘肃2016</t>
  </si>
  <si>
    <t>甘肃2017</t>
  </si>
  <si>
    <t>甘肃2018</t>
  </si>
  <si>
    <t>甘肃2019</t>
  </si>
  <si>
    <t>甘肃2020</t>
  </si>
  <si>
    <t>宁夏2011</t>
    <phoneticPr fontId="1" type="noConversion"/>
  </si>
  <si>
    <t>宁夏2012</t>
  </si>
  <si>
    <t>宁夏2013</t>
  </si>
  <si>
    <t>宁夏2014</t>
  </si>
  <si>
    <t>宁夏2015</t>
  </si>
  <si>
    <t>宁夏2016</t>
  </si>
  <si>
    <t>宁夏2017</t>
  </si>
  <si>
    <t>宁夏2018</t>
  </si>
  <si>
    <t>宁夏2019</t>
  </si>
  <si>
    <t>宁夏2020</t>
  </si>
  <si>
    <t>新疆2011</t>
    <phoneticPr fontId="1" type="noConversion"/>
  </si>
  <si>
    <t>新疆2012</t>
  </si>
  <si>
    <t>新疆2013</t>
  </si>
  <si>
    <t>新疆2014</t>
  </si>
  <si>
    <t>新疆2015</t>
  </si>
  <si>
    <t>新疆2016</t>
  </si>
  <si>
    <t>新疆2017</t>
  </si>
  <si>
    <t>新疆2018</t>
  </si>
  <si>
    <t>新疆2019</t>
  </si>
  <si>
    <t>新疆2020</t>
  </si>
  <si>
    <t>𝛾1</t>
    <phoneticPr fontId="1" type="noConversion"/>
  </si>
  <si>
    <t>time</t>
    <phoneticPr fontId="1" type="noConversion"/>
  </si>
  <si>
    <t>id</t>
    <phoneticPr fontId="1" type="noConversion"/>
  </si>
  <si>
    <t>𝛾11</t>
    <phoneticPr fontId="1" type="noConversion"/>
  </si>
  <si>
    <t>μ11</t>
    <phoneticPr fontId="1" type="noConversion"/>
  </si>
  <si>
    <t>η11</t>
    <phoneticPr fontId="1" type="noConversion"/>
  </si>
  <si>
    <t>η21</t>
    <phoneticPr fontId="1" type="noConversion"/>
  </si>
  <si>
    <t>η31</t>
    <phoneticPr fontId="1" type="noConversion"/>
  </si>
  <si>
    <t>β1</t>
    <phoneticPr fontId="1" type="noConversion"/>
  </si>
  <si>
    <t>β11</t>
    <phoneticPr fontId="1" type="noConversion"/>
  </si>
  <si>
    <t>δ11</t>
    <phoneticPr fontId="1" type="noConversion"/>
  </si>
  <si>
    <t>δ21</t>
    <phoneticPr fontId="1" type="noConversion"/>
  </si>
  <si>
    <t>δ31</t>
    <phoneticPr fontId="1" type="noConversion"/>
  </si>
  <si>
    <t>影子价格</t>
    <phoneticPr fontId="1" type="noConversion"/>
  </si>
  <si>
    <t>单位：百万吨</t>
    <phoneticPr fontId="1" type="noConversion"/>
  </si>
  <si>
    <t>标准化处理：</t>
    <phoneticPr fontId="1" type="noConversion"/>
  </si>
  <si>
    <t>年份</t>
    <phoneticPr fontId="1" type="noConversion"/>
  </si>
  <si>
    <t>东南沿海平均</t>
    <phoneticPr fontId="1" type="noConversion"/>
  </si>
  <si>
    <t>西北内陆平均</t>
    <phoneticPr fontId="1" type="noConversion"/>
  </si>
  <si>
    <t>地区影子价格差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</si>
</sst>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yyyy"/>
    <numFmt numFmtId="177" formatCode="0.00_ "/>
    <numFmt numFmtId="179" formatCode="0.000000_ "/>
    <numFmt numFmtId="180" formatCode="0.00_);[Red]\(0.00\)"/>
    <numFmt numFmtId="181" formatCode="0.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176" fontId="0" fillId="0" borderId="0" xfId="0" applyNumberFormat="1"/>
    <xf numFmtId="177" fontId="0" fillId="0" borderId="0" xfId="0" applyNumberFormat="1" applyAlignment="1">
      <alignment horizontal="right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177" fontId="0" fillId="0" borderId="0" xfId="0" applyNumberFormat="1"/>
    <xf numFmtId="179" fontId="0" fillId="0" borderId="0" xfId="0" applyNumberFormat="1"/>
    <xf numFmtId="177" fontId="3" fillId="0" borderId="0" xfId="0" applyNumberFormat="1" applyFont="1" applyAlignment="1">
      <alignment horizontal="right"/>
    </xf>
    <xf numFmtId="0" fontId="4" fillId="0" borderId="0" xfId="0" applyFont="1"/>
    <xf numFmtId="43" fontId="6" fillId="0" borderId="0" xfId="1" applyFont="1" applyAlignment="1">
      <alignment vertical="center"/>
    </xf>
    <xf numFmtId="43" fontId="2" fillId="0" borderId="0" xfId="0" applyNumberFormat="1" applyFont="1"/>
    <xf numFmtId="11" fontId="0" fillId="0" borderId="0" xfId="0" applyNumberFormat="1"/>
    <xf numFmtId="180" fontId="0" fillId="0" borderId="0" xfId="0" applyNumberFormat="1"/>
    <xf numFmtId="0" fontId="0" fillId="2" borderId="0" xfId="0" applyFill="1"/>
    <xf numFmtId="181" fontId="0" fillId="0" borderId="0" xfId="0" applyNumberFormat="1"/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177" fontId="8" fillId="0" borderId="0" xfId="0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177" fontId="8" fillId="0" borderId="2" xfId="0" applyNumberFormat="1" applyFont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190500</xdr:colOff>
      <xdr:row>0</xdr:row>
      <xdr:rowOff>160220</xdr:rowOff>
    </xdr:from>
    <xdr:to>
      <xdr:col>40</xdr:col>
      <xdr:colOff>307358</xdr:colOff>
      <xdr:row>31</xdr:row>
      <xdr:rowOff>157167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B34BBAB-0BD2-41BF-A4C9-FF349AB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32840" y="160220"/>
          <a:ext cx="8544578" cy="5430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441960</xdr:colOff>
      <xdr:row>0</xdr:row>
      <xdr:rowOff>100132</xdr:rowOff>
    </xdr:from>
    <xdr:to>
      <xdr:col>34</xdr:col>
      <xdr:colOff>345821</xdr:colOff>
      <xdr:row>24</xdr:row>
      <xdr:rowOff>12559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979492C-B761-4406-A744-902855DBB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83560" y="100132"/>
          <a:ext cx="4719701" cy="4118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workbookViewId="0">
      <selection activeCell="D14" sqref="D14"/>
    </sheetView>
  </sheetViews>
  <sheetFormatPr defaultColWidth="8.77734375" defaultRowHeight="13.8" x14ac:dyDescent="0.25"/>
  <cols>
    <col min="2" max="2" width="18.109375" customWidth="1"/>
    <col min="3" max="3" width="16.109375" customWidth="1"/>
    <col min="4" max="5" width="18.44140625" customWidth="1"/>
    <col min="6" max="6" width="13.77734375" customWidth="1"/>
    <col min="7" max="7" width="16.44140625" customWidth="1"/>
    <col min="8" max="8" width="15.44140625" customWidth="1"/>
    <col min="9" max="9" width="13.44140625" customWidth="1"/>
    <col min="11" max="11" width="10.77734375" bestFit="1" customWidth="1"/>
  </cols>
  <sheetData>
    <row r="1" spans="1:11" x14ac:dyDescent="0.25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3" t="s">
        <v>0</v>
      </c>
    </row>
    <row r="2" spans="1:11" x14ac:dyDescent="0.25">
      <c r="A2" s="1">
        <v>40908</v>
      </c>
      <c r="B2" s="8">
        <v>19195.689999999999</v>
      </c>
      <c r="C2" s="2">
        <v>49110.27</v>
      </c>
      <c r="D2" s="2">
        <v>32318.85</v>
      </c>
      <c r="E2" s="2">
        <v>15300.65</v>
      </c>
      <c r="F2" s="2">
        <v>14359.88</v>
      </c>
      <c r="G2" s="2">
        <v>5020.37</v>
      </c>
      <c r="H2" s="2">
        <v>2102.21</v>
      </c>
      <c r="I2" s="2">
        <v>6610.05</v>
      </c>
    </row>
    <row r="3" spans="1:11" x14ac:dyDescent="0.25">
      <c r="A3" s="1">
        <v>41274</v>
      </c>
      <c r="B3" s="8">
        <v>20181.72</v>
      </c>
      <c r="C3" s="2">
        <v>54058.22</v>
      </c>
      <c r="D3" s="2">
        <v>34665.33</v>
      </c>
      <c r="E3" s="2">
        <v>17212.050615</v>
      </c>
      <c r="F3" s="2">
        <v>15880.578844</v>
      </c>
      <c r="G3" s="2">
        <v>5650.2039590000004</v>
      </c>
      <c r="H3" s="2">
        <v>2341.29</v>
      </c>
      <c r="I3" s="2">
        <v>7505.31</v>
      </c>
    </row>
    <row r="4" spans="1:11" x14ac:dyDescent="0.25">
      <c r="A4" s="1">
        <v>41639</v>
      </c>
      <c r="B4" s="8">
        <v>21818.15</v>
      </c>
      <c r="C4" s="2">
        <v>59753.37</v>
      </c>
      <c r="D4" s="2">
        <v>37756.58</v>
      </c>
      <c r="E4" s="2">
        <v>19229.337100000001</v>
      </c>
      <c r="F4" s="2">
        <v>16916.502941999999</v>
      </c>
      <c r="G4" s="2">
        <v>6330.6923150000002</v>
      </c>
      <c r="H4" s="2">
        <v>2577.5700000000002</v>
      </c>
      <c r="I4" s="2">
        <v>8443.84</v>
      </c>
    </row>
    <row r="5" spans="1:11" x14ac:dyDescent="0.25">
      <c r="A5" s="1">
        <v>42004</v>
      </c>
      <c r="B5" s="8">
        <v>23567.695348000001</v>
      </c>
      <c r="C5" s="2">
        <v>65088.32</v>
      </c>
      <c r="D5" s="2">
        <v>40173.03</v>
      </c>
      <c r="E5" s="2">
        <v>20848.747600999999</v>
      </c>
      <c r="F5" s="2">
        <v>17770.188818999999</v>
      </c>
      <c r="G5" s="2">
        <v>6836.820788</v>
      </c>
      <c r="H5" s="2">
        <v>2752.1</v>
      </c>
      <c r="I5" s="2">
        <v>9273.4599999999991</v>
      </c>
    </row>
    <row r="6" spans="1:11" x14ac:dyDescent="0.25">
      <c r="A6" s="1">
        <v>42369</v>
      </c>
      <c r="B6" s="8">
        <v>25123.45</v>
      </c>
      <c r="C6" s="2">
        <v>70116.38</v>
      </c>
      <c r="D6" s="2">
        <v>42886.49</v>
      </c>
      <c r="E6" s="2">
        <v>22005.63</v>
      </c>
      <c r="F6" s="2">
        <v>17831.508783000001</v>
      </c>
      <c r="G6" s="2">
        <v>6790.316898</v>
      </c>
      <c r="H6" s="2">
        <v>2911.77</v>
      </c>
      <c r="I6" s="2">
        <v>9324.7999999999993</v>
      </c>
    </row>
    <row r="7" spans="1:11" x14ac:dyDescent="0.25">
      <c r="A7" s="1">
        <v>42735</v>
      </c>
      <c r="B7" s="8">
        <v>28178.65</v>
      </c>
      <c r="C7" s="2">
        <v>77388.28</v>
      </c>
      <c r="D7" s="2">
        <v>47251.360000000001</v>
      </c>
      <c r="E7" s="2">
        <v>24407.62</v>
      </c>
      <c r="F7" s="2">
        <v>18128.099999999999</v>
      </c>
      <c r="G7" s="2">
        <v>7200.37</v>
      </c>
      <c r="H7" s="2">
        <v>3168.59</v>
      </c>
      <c r="I7" s="2">
        <v>9649.7000000000007</v>
      </c>
    </row>
    <row r="8" spans="1:11" x14ac:dyDescent="0.25">
      <c r="A8" s="1">
        <v>43100</v>
      </c>
      <c r="B8" s="8">
        <v>30632.99</v>
      </c>
      <c r="C8" s="2">
        <v>85869.759999999995</v>
      </c>
      <c r="D8" s="2">
        <v>51768.26</v>
      </c>
      <c r="E8" s="2">
        <v>27018</v>
      </c>
      <c r="F8" s="2">
        <v>16096.21</v>
      </c>
      <c r="G8" s="2">
        <v>7459.8995290000003</v>
      </c>
      <c r="H8" s="2">
        <v>3443.56</v>
      </c>
      <c r="I8" s="2">
        <v>10881.96</v>
      </c>
    </row>
    <row r="9" spans="1:11" x14ac:dyDescent="0.25">
      <c r="A9" s="1">
        <v>43465</v>
      </c>
      <c r="B9" s="8">
        <v>36011.82</v>
      </c>
      <c r="C9" s="2">
        <v>93207.55</v>
      </c>
      <c r="D9" s="2">
        <v>58003</v>
      </c>
      <c r="E9" s="2">
        <v>34010.9</v>
      </c>
      <c r="F9" s="2">
        <v>16140.8</v>
      </c>
      <c r="G9" s="2">
        <v>8104.07</v>
      </c>
      <c r="H9" s="2">
        <v>3510.21</v>
      </c>
      <c r="I9" s="2">
        <v>12809.39</v>
      </c>
    </row>
    <row r="10" spans="1:11" x14ac:dyDescent="0.25">
      <c r="A10" s="1">
        <v>43830</v>
      </c>
      <c r="B10" s="8">
        <v>38155.32</v>
      </c>
      <c r="C10" s="2">
        <v>99631.52</v>
      </c>
      <c r="D10" s="2">
        <v>62351.74</v>
      </c>
      <c r="E10" s="2">
        <v>37113.980000000003</v>
      </c>
      <c r="F10" s="2">
        <v>17212.53</v>
      </c>
      <c r="G10" s="2">
        <v>8718.2999999999993</v>
      </c>
      <c r="H10" s="2">
        <v>3748.48</v>
      </c>
      <c r="I10" s="2">
        <v>13597.11</v>
      </c>
    </row>
    <row r="11" spans="1:11" x14ac:dyDescent="0.25">
      <c r="A11" s="1">
        <v>44196</v>
      </c>
      <c r="B11" s="2">
        <v>38700.58</v>
      </c>
      <c r="C11" s="2">
        <v>102718.98</v>
      </c>
      <c r="D11" s="2">
        <v>64613.34</v>
      </c>
      <c r="E11" s="2">
        <v>38680.629999999997</v>
      </c>
      <c r="F11" s="2">
        <v>17359.82</v>
      </c>
      <c r="G11" s="2">
        <v>9016.7000000000007</v>
      </c>
      <c r="H11" s="2">
        <v>3920.55</v>
      </c>
      <c r="I11" s="2">
        <v>13797.58</v>
      </c>
    </row>
    <row r="13" spans="1:11" x14ac:dyDescent="0.25">
      <c r="B13" s="6">
        <f>AVERAGE(B2:I11)</f>
        <v>26716.470419262507</v>
      </c>
      <c r="C13" s="6"/>
      <c r="D13" s="6"/>
      <c r="E13" s="6"/>
      <c r="F13" s="6"/>
      <c r="G13" s="6"/>
      <c r="H13" s="6"/>
      <c r="I13" s="6"/>
    </row>
    <row r="14" spans="1:11" x14ac:dyDescent="0.25">
      <c r="B14" t="s">
        <v>122</v>
      </c>
    </row>
    <row r="15" spans="1:11" x14ac:dyDescent="0.25">
      <c r="B15">
        <f>B2/$B$13</f>
        <v>0.71849648171189395</v>
      </c>
      <c r="C15">
        <f t="shared" ref="C15:I15" si="0">C2/$B$13</f>
        <v>1.8382020240440002</v>
      </c>
      <c r="D15">
        <f t="shared" si="0"/>
        <v>1.20969759451077</v>
      </c>
      <c r="E15">
        <f t="shared" si="0"/>
        <v>0.57270476825293026</v>
      </c>
      <c r="F15">
        <f t="shared" si="0"/>
        <v>0.53749165869030968</v>
      </c>
      <c r="G15">
        <f t="shared" si="0"/>
        <v>0.18791292117615679</v>
      </c>
      <c r="H15">
        <f t="shared" si="0"/>
        <v>7.8685917975314282E-2</v>
      </c>
      <c r="I15">
        <f t="shared" si="0"/>
        <v>0.24741479305717612</v>
      </c>
      <c r="K15" s="8">
        <v>19195.689999999999</v>
      </c>
    </row>
    <row r="16" spans="1:11" x14ac:dyDescent="0.25">
      <c r="B16">
        <f t="shared" ref="B16:I16" si="1">B3/$B$13</f>
        <v>0.75540367733040936</v>
      </c>
      <c r="C16">
        <f>C3/$B$13</f>
        <v>2.0234042578103493</v>
      </c>
      <c r="D16">
        <f t="shared" si="1"/>
        <v>1.2975265615553164</v>
      </c>
      <c r="E16">
        <f t="shared" si="1"/>
        <v>0.64424867300547883</v>
      </c>
      <c r="F16">
        <f t="shared" si="1"/>
        <v>0.59441155941580304</v>
      </c>
      <c r="G16">
        <f t="shared" si="1"/>
        <v>0.2114876654861646</v>
      </c>
      <c r="H16">
        <f t="shared" si="1"/>
        <v>8.7634704856519363E-2</v>
      </c>
      <c r="I16">
        <f t="shared" si="1"/>
        <v>0.2809244590403937</v>
      </c>
      <c r="K16" s="8">
        <v>20181.72</v>
      </c>
    </row>
    <row r="17" spans="2:11" x14ac:dyDescent="0.25">
      <c r="B17">
        <f t="shared" ref="B17:I17" si="2">B4/$B$13</f>
        <v>0.81665540610743148</v>
      </c>
      <c r="C17">
        <f t="shared" si="2"/>
        <v>2.2365742578375163</v>
      </c>
      <c r="D17">
        <f t="shared" si="2"/>
        <v>1.4132323397321827</v>
      </c>
      <c r="E17">
        <f t="shared" si="2"/>
        <v>0.71975589582880295</v>
      </c>
      <c r="F17">
        <f t="shared" si="2"/>
        <v>0.63318629581410735</v>
      </c>
      <c r="G17">
        <f t="shared" si="2"/>
        <v>0.23695840863902393</v>
      </c>
      <c r="H17">
        <f t="shared" si="2"/>
        <v>9.6478687474434457E-2</v>
      </c>
      <c r="I17">
        <f t="shared" si="2"/>
        <v>0.31605372519238217</v>
      </c>
      <c r="K17" s="8">
        <v>21818.15</v>
      </c>
    </row>
    <row r="18" spans="2:11" x14ac:dyDescent="0.25">
      <c r="B18">
        <f t="shared" ref="B18:I18" si="3">B5/$B$13</f>
        <v>0.88214105299657219</v>
      </c>
      <c r="C18">
        <f t="shared" si="3"/>
        <v>2.4362619379943049</v>
      </c>
      <c r="D18">
        <f t="shared" si="3"/>
        <v>1.5036802904561579</v>
      </c>
      <c r="E18">
        <f t="shared" si="3"/>
        <v>0.780370583157875</v>
      </c>
      <c r="F18">
        <f t="shared" si="3"/>
        <v>0.66513983846413105</v>
      </c>
      <c r="G18">
        <f t="shared" si="3"/>
        <v>0.2559028449757596</v>
      </c>
      <c r="H18">
        <f>H5/$B$13</f>
        <v>0.10301136178586461</v>
      </c>
      <c r="I18">
        <f t="shared" si="3"/>
        <v>0.34710647980332981</v>
      </c>
      <c r="K18" s="8">
        <v>23567.695348000001</v>
      </c>
    </row>
    <row r="19" spans="2:11" x14ac:dyDescent="0.25">
      <c r="B19">
        <f t="shared" ref="B19:I19" si="4">B6/$B$13</f>
        <v>0.94037309591187834</v>
      </c>
      <c r="C19">
        <f>C6/$B$13</f>
        <v>2.6244626965935693</v>
      </c>
      <c r="D19">
        <f t="shared" si="4"/>
        <v>1.6052453534086204</v>
      </c>
      <c r="E19">
        <f t="shared" si="4"/>
        <v>0.82367280013657784</v>
      </c>
      <c r="F19">
        <f>F6/$B$13</f>
        <v>0.6674350504826988</v>
      </c>
      <c r="G19">
        <f t="shared" si="4"/>
        <v>0.25416220000019907</v>
      </c>
      <c r="H19">
        <f t="shared" si="4"/>
        <v>0.1089878248999771</v>
      </c>
      <c r="I19">
        <f t="shared" si="4"/>
        <v>0.34902814083094008</v>
      </c>
      <c r="K19" s="8">
        <v>25123.45</v>
      </c>
    </row>
    <row r="20" spans="2:11" x14ac:dyDescent="0.25">
      <c r="B20">
        <f t="shared" ref="B20:I20" si="5">B7/$B$13</f>
        <v>1.0547295191988859</v>
      </c>
      <c r="C20">
        <f>C7/$B$13</f>
        <v>2.89665059738592</v>
      </c>
      <c r="D20">
        <f t="shared" si="5"/>
        <v>1.7686228479467068</v>
      </c>
      <c r="E20">
        <f t="shared" si="5"/>
        <v>0.91357951170084828</v>
      </c>
      <c r="F20">
        <f t="shared" si="5"/>
        <v>0.67853648762411689</v>
      </c>
      <c r="G20">
        <f t="shared" si="5"/>
        <v>0.26951052616623156</v>
      </c>
      <c r="H20">
        <f t="shared" si="5"/>
        <v>0.11860062164931244</v>
      </c>
      <c r="I20">
        <f t="shared" si="5"/>
        <v>0.36118917838198389</v>
      </c>
      <c r="K20" s="8">
        <v>28178.65</v>
      </c>
    </row>
    <row r="21" spans="2:11" x14ac:dyDescent="0.25">
      <c r="B21">
        <f t="shared" ref="B21:I21" si="6">B8/$B$13</f>
        <v>1.1465956961857393</v>
      </c>
      <c r="C21">
        <f t="shared" si="6"/>
        <v>3.2141131913176717</v>
      </c>
      <c r="D21">
        <f t="shared" si="6"/>
        <v>1.9376908396804999</v>
      </c>
      <c r="E21">
        <f t="shared" si="6"/>
        <v>1.0112862805604774</v>
      </c>
      <c r="F21">
        <f t="shared" si="6"/>
        <v>0.60248265386114297</v>
      </c>
      <c r="G21">
        <f t="shared" si="6"/>
        <v>0.27922474084081972</v>
      </c>
      <c r="H21">
        <f t="shared" si="6"/>
        <v>0.12889277460533116</v>
      </c>
      <c r="I21">
        <f t="shared" si="6"/>
        <v>0.40731278605403404</v>
      </c>
      <c r="K21" s="8">
        <v>30632.99</v>
      </c>
    </row>
    <row r="22" spans="2:11" x14ac:dyDescent="0.25">
      <c r="B22">
        <f t="shared" ref="B22:I22" si="7">B9/$B$13</f>
        <v>1.3479258088686583</v>
      </c>
      <c r="C22">
        <f>C9/$B$13</f>
        <v>3.488767361005801</v>
      </c>
      <c r="D22">
        <f t="shared" si="7"/>
        <v>2.1710577441464718</v>
      </c>
      <c r="E22">
        <f t="shared" si="7"/>
        <v>1.2730311851178602</v>
      </c>
      <c r="F22">
        <f t="shared" si="7"/>
        <v>0.60415166175403634</v>
      </c>
      <c r="G22">
        <f t="shared" si="7"/>
        <v>0.30333610214308049</v>
      </c>
      <c r="H22">
        <f t="shared" si="7"/>
        <v>0.13138749037257361</v>
      </c>
      <c r="I22">
        <f t="shared" si="7"/>
        <v>0.47945667219441018</v>
      </c>
      <c r="K22" s="8">
        <v>36011.82</v>
      </c>
    </row>
    <row r="23" spans="2:11" x14ac:dyDescent="0.25">
      <c r="B23">
        <f t="shared" ref="B23:H23" si="8">B10/$B$13</f>
        <v>1.4281572154265598</v>
      </c>
      <c r="C23">
        <f>C10/$B$13</f>
        <v>3.7292171621654759</v>
      </c>
      <c r="D23">
        <f t="shared" si="8"/>
        <v>2.3338314912678193</v>
      </c>
      <c r="E23">
        <f t="shared" si="8"/>
        <v>1.3891797613071268</v>
      </c>
      <c r="F23">
        <f t="shared" si="8"/>
        <v>0.64426661643110639</v>
      </c>
      <c r="G23">
        <f t="shared" si="8"/>
        <v>0.32632678880044452</v>
      </c>
      <c r="H23">
        <f t="shared" si="8"/>
        <v>0.14030595887761266</v>
      </c>
      <c r="I23">
        <f>I10/$B$13</f>
        <v>0.50894110586541097</v>
      </c>
      <c r="K23" s="8">
        <v>38155.32</v>
      </c>
    </row>
    <row r="24" spans="2:11" x14ac:dyDescent="0.25">
      <c r="B24">
        <f t="shared" ref="B24:I24" si="9">B11/$B$13</f>
        <v>1.4485663484985272</v>
      </c>
      <c r="C24">
        <f t="shared" si="9"/>
        <v>3.8447810802859599</v>
      </c>
      <c r="D24">
        <f t="shared" si="9"/>
        <v>2.4184833919309172</v>
      </c>
      <c r="E24">
        <f>E11/$B$13</f>
        <v>1.4478196181225855</v>
      </c>
      <c r="F24">
        <f t="shared" si="9"/>
        <v>0.649779694981101</v>
      </c>
      <c r="G24">
        <f t="shared" si="9"/>
        <v>0.33749592885963647</v>
      </c>
      <c r="H24">
        <f t="shared" si="9"/>
        <v>0.14674655515772375</v>
      </c>
      <c r="I24">
        <f t="shared" si="9"/>
        <v>0.51644471681603499</v>
      </c>
      <c r="K24" s="2">
        <v>38700.58</v>
      </c>
    </row>
    <row r="25" spans="2:11" x14ac:dyDescent="0.25">
      <c r="K25" s="2">
        <v>49110.27</v>
      </c>
    </row>
    <row r="26" spans="2:11" x14ac:dyDescent="0.25">
      <c r="K26" s="2">
        <v>54058.22</v>
      </c>
    </row>
    <row r="27" spans="2:11" x14ac:dyDescent="0.25">
      <c r="K27" s="2">
        <v>59753.37</v>
      </c>
    </row>
    <row r="28" spans="2:11" x14ac:dyDescent="0.25">
      <c r="K28" s="2">
        <v>65088.32</v>
      </c>
    </row>
    <row r="29" spans="2:11" x14ac:dyDescent="0.25">
      <c r="K29" s="2">
        <v>70116.38</v>
      </c>
    </row>
    <row r="30" spans="2:11" x14ac:dyDescent="0.25">
      <c r="K30" s="2">
        <v>77388.28</v>
      </c>
    </row>
    <row r="31" spans="2:11" x14ac:dyDescent="0.25">
      <c r="K31" s="2">
        <v>85869.759999999995</v>
      </c>
    </row>
    <row r="32" spans="2:11" x14ac:dyDescent="0.25">
      <c r="K32" s="2">
        <v>93207.55</v>
      </c>
    </row>
    <row r="33" spans="11:11" x14ac:dyDescent="0.25">
      <c r="K33" s="2">
        <v>99631.52</v>
      </c>
    </row>
    <row r="34" spans="11:11" x14ac:dyDescent="0.25">
      <c r="K34" s="2">
        <v>102718.98</v>
      </c>
    </row>
    <row r="35" spans="11:11" x14ac:dyDescent="0.25">
      <c r="K35" s="2">
        <v>32318.85</v>
      </c>
    </row>
    <row r="36" spans="11:11" x14ac:dyDescent="0.25">
      <c r="K36" s="2">
        <v>34665.33</v>
      </c>
    </row>
    <row r="37" spans="11:11" x14ac:dyDescent="0.25">
      <c r="K37" s="2">
        <v>37756.58</v>
      </c>
    </row>
    <row r="38" spans="11:11" x14ac:dyDescent="0.25">
      <c r="K38" s="2">
        <v>40173.03</v>
      </c>
    </row>
    <row r="39" spans="11:11" x14ac:dyDescent="0.25">
      <c r="K39" s="2">
        <v>42886.49</v>
      </c>
    </row>
    <row r="40" spans="11:11" x14ac:dyDescent="0.25">
      <c r="K40" s="2">
        <v>47251.360000000001</v>
      </c>
    </row>
    <row r="41" spans="11:11" x14ac:dyDescent="0.25">
      <c r="K41" s="2">
        <v>51768.26</v>
      </c>
    </row>
    <row r="42" spans="11:11" x14ac:dyDescent="0.25">
      <c r="K42" s="2">
        <v>58003</v>
      </c>
    </row>
    <row r="43" spans="11:11" x14ac:dyDescent="0.25">
      <c r="K43" s="2">
        <v>62351.74</v>
      </c>
    </row>
    <row r="44" spans="11:11" x14ac:dyDescent="0.25">
      <c r="K44" s="2">
        <v>64613.34</v>
      </c>
    </row>
    <row r="45" spans="11:11" x14ac:dyDescent="0.25">
      <c r="K45" s="2">
        <v>15300.65</v>
      </c>
    </row>
    <row r="46" spans="11:11" x14ac:dyDescent="0.25">
      <c r="K46" s="2">
        <v>17212.050615</v>
      </c>
    </row>
    <row r="47" spans="11:11" x14ac:dyDescent="0.25">
      <c r="K47" s="2">
        <v>19229.337100000001</v>
      </c>
    </row>
    <row r="48" spans="11:11" x14ac:dyDescent="0.25">
      <c r="K48" s="2">
        <v>20848.747600999999</v>
      </c>
    </row>
    <row r="49" spans="11:11" x14ac:dyDescent="0.25">
      <c r="K49" s="2">
        <v>22005.63</v>
      </c>
    </row>
    <row r="50" spans="11:11" x14ac:dyDescent="0.25">
      <c r="K50" s="2">
        <v>24407.62</v>
      </c>
    </row>
    <row r="51" spans="11:11" x14ac:dyDescent="0.25">
      <c r="K51" s="2">
        <v>27018</v>
      </c>
    </row>
    <row r="52" spans="11:11" x14ac:dyDescent="0.25">
      <c r="K52" s="2">
        <v>34010.9</v>
      </c>
    </row>
    <row r="53" spans="11:11" x14ac:dyDescent="0.25">
      <c r="K53" s="2">
        <v>37113.980000000003</v>
      </c>
    </row>
    <row r="54" spans="11:11" x14ac:dyDescent="0.25">
      <c r="K54" s="2">
        <v>38680.629999999997</v>
      </c>
    </row>
    <row r="55" spans="11:11" x14ac:dyDescent="0.25">
      <c r="K55" s="2">
        <v>14359.88</v>
      </c>
    </row>
    <row r="56" spans="11:11" x14ac:dyDescent="0.25">
      <c r="K56" s="2">
        <v>15880.578844</v>
      </c>
    </row>
    <row r="57" spans="11:11" x14ac:dyDescent="0.25">
      <c r="K57" s="2">
        <v>16916.502941999999</v>
      </c>
    </row>
    <row r="58" spans="11:11" x14ac:dyDescent="0.25">
      <c r="K58" s="2">
        <v>17770.188818999999</v>
      </c>
    </row>
    <row r="59" spans="11:11" x14ac:dyDescent="0.25">
      <c r="K59" s="2">
        <v>17831.508783000001</v>
      </c>
    </row>
    <row r="60" spans="11:11" x14ac:dyDescent="0.25">
      <c r="K60" s="2">
        <v>18128.099999999999</v>
      </c>
    </row>
    <row r="61" spans="11:11" x14ac:dyDescent="0.25">
      <c r="K61" s="2">
        <v>16096.21</v>
      </c>
    </row>
    <row r="62" spans="11:11" x14ac:dyDescent="0.25">
      <c r="K62" s="2">
        <v>16140.8</v>
      </c>
    </row>
    <row r="63" spans="11:11" x14ac:dyDescent="0.25">
      <c r="K63" s="2">
        <v>17212.53</v>
      </c>
    </row>
    <row r="64" spans="11:11" x14ac:dyDescent="0.25">
      <c r="K64" s="2">
        <v>17359.82</v>
      </c>
    </row>
    <row r="65" spans="11:11" x14ac:dyDescent="0.25">
      <c r="K65" s="2">
        <v>5020.37</v>
      </c>
    </row>
    <row r="66" spans="11:11" x14ac:dyDescent="0.25">
      <c r="K66" s="2">
        <v>5650.2039590000004</v>
      </c>
    </row>
    <row r="67" spans="11:11" x14ac:dyDescent="0.25">
      <c r="K67" s="2">
        <v>6330.6923150000002</v>
      </c>
    </row>
    <row r="68" spans="11:11" x14ac:dyDescent="0.25">
      <c r="K68" s="2">
        <v>6836.820788</v>
      </c>
    </row>
    <row r="69" spans="11:11" x14ac:dyDescent="0.25">
      <c r="K69" s="2">
        <v>6790.316898</v>
      </c>
    </row>
    <row r="70" spans="11:11" x14ac:dyDescent="0.25">
      <c r="K70" s="2">
        <v>7200.37</v>
      </c>
    </row>
    <row r="71" spans="11:11" x14ac:dyDescent="0.25">
      <c r="K71" s="2">
        <v>7459.8995290000003</v>
      </c>
    </row>
    <row r="72" spans="11:11" x14ac:dyDescent="0.25">
      <c r="K72" s="2">
        <v>8104.07</v>
      </c>
    </row>
    <row r="73" spans="11:11" x14ac:dyDescent="0.25">
      <c r="K73" s="2">
        <v>8718.2999999999993</v>
      </c>
    </row>
    <row r="74" spans="11:11" x14ac:dyDescent="0.25">
      <c r="K74" s="2">
        <v>9016.7000000000007</v>
      </c>
    </row>
    <row r="75" spans="11:11" x14ac:dyDescent="0.25">
      <c r="K75" s="2">
        <v>2102.21</v>
      </c>
    </row>
    <row r="76" spans="11:11" x14ac:dyDescent="0.25">
      <c r="K76" s="2">
        <v>2341.29</v>
      </c>
    </row>
    <row r="77" spans="11:11" x14ac:dyDescent="0.25">
      <c r="K77" s="2">
        <v>2577.5700000000002</v>
      </c>
    </row>
    <row r="78" spans="11:11" x14ac:dyDescent="0.25">
      <c r="K78" s="2">
        <v>2752.1</v>
      </c>
    </row>
    <row r="79" spans="11:11" x14ac:dyDescent="0.25">
      <c r="K79" s="2">
        <v>2911.77</v>
      </c>
    </row>
    <row r="80" spans="11:11" x14ac:dyDescent="0.25">
      <c r="K80" s="2">
        <v>3168.59</v>
      </c>
    </row>
    <row r="81" spans="11:11" x14ac:dyDescent="0.25">
      <c r="K81" s="2">
        <v>3443.56</v>
      </c>
    </row>
    <row r="82" spans="11:11" x14ac:dyDescent="0.25">
      <c r="K82" s="2">
        <v>3510.21</v>
      </c>
    </row>
    <row r="83" spans="11:11" x14ac:dyDescent="0.25">
      <c r="K83" s="2">
        <v>3748.48</v>
      </c>
    </row>
    <row r="84" spans="11:11" x14ac:dyDescent="0.25">
      <c r="K84" s="2">
        <v>3920.55</v>
      </c>
    </row>
    <row r="85" spans="11:11" x14ac:dyDescent="0.25">
      <c r="K85" s="2">
        <v>6610.05</v>
      </c>
    </row>
    <row r="86" spans="11:11" x14ac:dyDescent="0.25">
      <c r="K86" s="2">
        <v>7505.31</v>
      </c>
    </row>
    <row r="87" spans="11:11" x14ac:dyDescent="0.25">
      <c r="K87" s="2">
        <v>8443.84</v>
      </c>
    </row>
    <row r="88" spans="11:11" x14ac:dyDescent="0.25">
      <c r="K88" s="2">
        <v>9273.4599999999991</v>
      </c>
    </row>
    <row r="89" spans="11:11" x14ac:dyDescent="0.25">
      <c r="K89" s="2">
        <v>9324.7999999999993</v>
      </c>
    </row>
    <row r="90" spans="11:11" x14ac:dyDescent="0.25">
      <c r="K90" s="2">
        <v>9649.7000000000007</v>
      </c>
    </row>
    <row r="91" spans="11:11" x14ac:dyDescent="0.25">
      <c r="K91" s="2">
        <v>10881.96</v>
      </c>
    </row>
    <row r="92" spans="11:11" x14ac:dyDescent="0.25">
      <c r="K92" s="2">
        <v>12809.39</v>
      </c>
    </row>
    <row r="93" spans="11:11" x14ac:dyDescent="0.25">
      <c r="K93" s="2">
        <v>13597.11</v>
      </c>
    </row>
    <row r="94" spans="11:11" x14ac:dyDescent="0.25">
      <c r="K94" s="2">
        <v>13797.58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4631-6F73-478B-B621-5D07A8C91B82}">
  <dimension ref="A1:K94"/>
  <sheetViews>
    <sheetView workbookViewId="0">
      <selection activeCell="B14" sqref="B14"/>
    </sheetView>
  </sheetViews>
  <sheetFormatPr defaultColWidth="8.77734375" defaultRowHeight="13.8" x14ac:dyDescent="0.25"/>
  <cols>
    <col min="2" max="2" width="11.6640625" customWidth="1"/>
    <col min="3" max="3" width="15.77734375" customWidth="1"/>
    <col min="4" max="4" width="11.109375" customWidth="1"/>
    <col min="5" max="5" width="14.77734375" customWidth="1"/>
    <col min="6" max="6" width="13.44140625" customWidth="1"/>
    <col min="7" max="7" width="15.33203125" customWidth="1"/>
    <col min="8" max="8" width="11.6640625" customWidth="1"/>
    <col min="9" max="9" width="17.44140625" customWidth="1"/>
  </cols>
  <sheetData>
    <row r="1" spans="1:11" x14ac:dyDescent="0.25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1" x14ac:dyDescent="0.25">
      <c r="A2">
        <v>2011</v>
      </c>
      <c r="B2">
        <v>28026.255673458301</v>
      </c>
      <c r="C2">
        <v>86020.796837350936</v>
      </c>
      <c r="D2">
        <v>48084.568699807249</v>
      </c>
      <c r="E2">
        <v>39588.917883898524</v>
      </c>
      <c r="F2">
        <v>33951.853386288087</v>
      </c>
      <c r="G2">
        <v>12063.61724964922</v>
      </c>
      <c r="H2">
        <v>5189.694294986165</v>
      </c>
      <c r="I2">
        <v>14155.505626120583</v>
      </c>
      <c r="K2" t="s">
        <v>0</v>
      </c>
    </row>
    <row r="3" spans="1:11" x14ac:dyDescent="0.25">
      <c r="A3">
        <v>2012</v>
      </c>
      <c r="B3">
        <v>30590.115128806305</v>
      </c>
      <c r="C3">
        <v>109469.38034096525</v>
      </c>
      <c r="D3">
        <v>60564.410104625757</v>
      </c>
      <c r="E3">
        <v>50843.332767044267</v>
      </c>
      <c r="F3">
        <v>42568.215461204432</v>
      </c>
      <c r="G3">
        <v>15085.749993682895</v>
      </c>
      <c r="H3">
        <v>6801.0018426674924</v>
      </c>
      <c r="I3">
        <v>18955.357086013006</v>
      </c>
    </row>
    <row r="4" spans="1:11" x14ac:dyDescent="0.25">
      <c r="A4">
        <v>2013</v>
      </c>
      <c r="B4">
        <v>33301.254076440899</v>
      </c>
      <c r="C4">
        <v>134942.83982823259</v>
      </c>
      <c r="D4">
        <v>74944.296734581687</v>
      </c>
      <c r="E4">
        <v>64213.49402140802</v>
      </c>
      <c r="F4">
        <v>52699.04437692881</v>
      </c>
      <c r="G4">
        <v>18678.047994289336</v>
      </c>
      <c r="H4">
        <v>8829.2485657714133</v>
      </c>
      <c r="I4">
        <v>24867.947105755757</v>
      </c>
    </row>
    <row r="5" spans="1:11" x14ac:dyDescent="0.25">
      <c r="A5">
        <v>2014</v>
      </c>
      <c r="B5">
        <v>36120.763685102575</v>
      </c>
      <c r="C5">
        <v>163541.07720472227</v>
      </c>
      <c r="D5">
        <v>91304.404248061837</v>
      </c>
      <c r="E5">
        <v>79305.292495352856</v>
      </c>
      <c r="F5">
        <v>65231.762216743642</v>
      </c>
      <c r="G5">
        <v>23292.155386837559</v>
      </c>
      <c r="H5">
        <v>11182.625603457358</v>
      </c>
      <c r="I5">
        <v>31928.366083603207</v>
      </c>
    </row>
    <row r="6" spans="1:11" x14ac:dyDescent="0.25">
      <c r="A6">
        <v>2015</v>
      </c>
      <c r="B6">
        <v>39005.870371332727</v>
      </c>
      <c r="C6">
        <v>193746.30379306892</v>
      </c>
      <c r="D6">
        <v>109203.90144024791</v>
      </c>
      <c r="E6">
        <v>95657.535915798988</v>
      </c>
      <c r="F6">
        <v>72671.734743936249</v>
      </c>
      <c r="G6">
        <v>28815.728469701153</v>
      </c>
      <c r="H6">
        <v>13642.020345525452</v>
      </c>
      <c r="I6">
        <v>39676.273539577298</v>
      </c>
    </row>
    <row r="7" spans="1:11" x14ac:dyDescent="0.25">
      <c r="A7">
        <v>2016</v>
      </c>
      <c r="B7">
        <v>42017.186815684785</v>
      </c>
      <c r="C7">
        <v>224517.5086289343</v>
      </c>
      <c r="D7">
        <v>128291.32690198411</v>
      </c>
      <c r="E7">
        <v>113232.52396788228</v>
      </c>
      <c r="F7">
        <v>80775.261808518379</v>
      </c>
      <c r="G7">
        <v>34676.018536609845</v>
      </c>
      <c r="H7">
        <v>16167.849692355008</v>
      </c>
      <c r="I7">
        <v>46154.881179777876</v>
      </c>
    </row>
    <row r="8" spans="1:11" x14ac:dyDescent="0.25">
      <c r="A8">
        <v>2017</v>
      </c>
      <c r="B8">
        <v>45230.136881379047</v>
      </c>
      <c r="C8">
        <v>255964.0378005566</v>
      </c>
      <c r="D8">
        <v>147101.34951939364</v>
      </c>
      <c r="E8">
        <v>131548.15806696558</v>
      </c>
      <c r="F8">
        <v>87033.997474900607</v>
      </c>
      <c r="G8">
        <v>40881.220757095303</v>
      </c>
      <c r="H8">
        <v>18429.114921888926</v>
      </c>
      <c r="I8">
        <v>53813.130286519205</v>
      </c>
    </row>
    <row r="9" spans="1:11" x14ac:dyDescent="0.25">
      <c r="A9">
        <v>2018</v>
      </c>
      <c r="B9">
        <v>48511.466940766666</v>
      </c>
      <c r="C9">
        <v>287306.71172170318</v>
      </c>
      <c r="D9">
        <v>166315.55525553186</v>
      </c>
      <c r="E9">
        <v>151549.4341477369</v>
      </c>
      <c r="F9">
        <v>88866.301618910162</v>
      </c>
      <c r="G9">
        <v>46118.893664414158</v>
      </c>
      <c r="H9">
        <v>19779.263789387591</v>
      </c>
      <c r="I9">
        <v>58236.157938653363</v>
      </c>
    </row>
    <row r="10" spans="1:11" x14ac:dyDescent="0.25">
      <c r="A10">
        <v>2019</v>
      </c>
      <c r="B10">
        <v>51866.583897653072</v>
      </c>
      <c r="C10">
        <v>318492.16524546966</v>
      </c>
      <c r="D10">
        <v>187052.12670529081</v>
      </c>
      <c r="E10">
        <v>172632.53845623255</v>
      </c>
      <c r="F10">
        <v>91113.583503387592</v>
      </c>
      <c r="G10">
        <v>51454.794891190395</v>
      </c>
      <c r="H10">
        <v>20653.551165606383</v>
      </c>
      <c r="I10">
        <v>63004.578715401731</v>
      </c>
    </row>
    <row r="11" spans="1:11" x14ac:dyDescent="0.25">
      <c r="A11">
        <v>2020</v>
      </c>
      <c r="B11">
        <v>55724.86805834798</v>
      </c>
      <c r="C11">
        <v>346860.11592450168</v>
      </c>
      <c r="D11">
        <v>207779.94199260455</v>
      </c>
      <c r="E11">
        <v>193508.88910043324</v>
      </c>
      <c r="F11">
        <v>92961.892730677006</v>
      </c>
      <c r="G11">
        <v>57044.869829153082</v>
      </c>
      <c r="H11">
        <v>21577.015553708174</v>
      </c>
      <c r="I11">
        <v>69449.204036987227</v>
      </c>
    </row>
    <row r="13" spans="1:11" x14ac:dyDescent="0.25">
      <c r="B13">
        <f>AVERAGE(B2:I11)</f>
        <v>80530.687109340506</v>
      </c>
    </row>
    <row r="14" spans="1:11" x14ac:dyDescent="0.25">
      <c r="B14" t="s">
        <v>122</v>
      </c>
    </row>
    <row r="15" spans="1:11" x14ac:dyDescent="0.25">
      <c r="B15">
        <f>B2/$B$13</f>
        <v>0.34801957712599252</v>
      </c>
      <c r="C15">
        <f t="shared" ref="C15:I15" si="0">C2/$B$13</f>
        <v>1.068174132434214</v>
      </c>
      <c r="D15">
        <f t="shared" si="0"/>
        <v>0.5970962179239877</v>
      </c>
      <c r="E15">
        <f t="shared" si="0"/>
        <v>0.4916003986175691</v>
      </c>
      <c r="F15">
        <f t="shared" si="0"/>
        <v>0.42160143673168926</v>
      </c>
      <c r="G15">
        <f t="shared" si="0"/>
        <v>0.14980149409714894</v>
      </c>
      <c r="H15">
        <f t="shared" si="0"/>
        <v>6.4443685770864706E-2</v>
      </c>
      <c r="I15">
        <f t="shared" si="0"/>
        <v>0.17577778278361081</v>
      </c>
      <c r="K15">
        <v>28026.255673458301</v>
      </c>
    </row>
    <row r="16" spans="1:11" x14ac:dyDescent="0.25">
      <c r="B16">
        <f>B3/$B$13</f>
        <v>0.37985662642208168</v>
      </c>
      <c r="C16">
        <f t="shared" ref="C16:I16" si="1">C3/$B$13</f>
        <v>1.3593498859923205</v>
      </c>
      <c r="D16">
        <f t="shared" si="1"/>
        <v>0.7520662281497047</v>
      </c>
      <c r="E16">
        <f t="shared" si="1"/>
        <v>0.63135351990740818</v>
      </c>
      <c r="F16">
        <f t="shared" si="1"/>
        <v>0.52859620337533508</v>
      </c>
      <c r="G16">
        <f t="shared" si="1"/>
        <v>0.18732920995943106</v>
      </c>
      <c r="H16">
        <f t="shared" si="1"/>
        <v>8.4452301188408282E-2</v>
      </c>
      <c r="I16">
        <f t="shared" si="1"/>
        <v>0.23538054580704593</v>
      </c>
      <c r="K16">
        <v>30590.115128806305</v>
      </c>
    </row>
    <row r="17" spans="2:11" x14ac:dyDescent="0.25">
      <c r="B17">
        <f t="shared" ref="B17:I17" si="2">B4/$B$13</f>
        <v>0.41352253745489759</v>
      </c>
      <c r="C17">
        <f t="shared" si="2"/>
        <v>1.6756697933672664</v>
      </c>
      <c r="D17">
        <f t="shared" si="2"/>
        <v>0.93063029044848578</v>
      </c>
      <c r="E17">
        <f t="shared" si="2"/>
        <v>0.79737918955319698</v>
      </c>
      <c r="F17">
        <f t="shared" si="2"/>
        <v>0.65439705370173618</v>
      </c>
      <c r="G17">
        <f t="shared" si="2"/>
        <v>0.23193702506138095</v>
      </c>
      <c r="H17">
        <f t="shared" si="2"/>
        <v>0.10963831158901581</v>
      </c>
      <c r="I17">
        <f t="shared" si="2"/>
        <v>0.3088008807374425</v>
      </c>
      <c r="K17">
        <v>33301.254076440899</v>
      </c>
    </row>
    <row r="18" spans="2:11" x14ac:dyDescent="0.25">
      <c r="B18">
        <f t="shared" ref="B18:I18" si="3">B5/$B$13</f>
        <v>0.4485341548875601</v>
      </c>
      <c r="C18">
        <f t="shared" si="3"/>
        <v>2.0307920256867353</v>
      </c>
      <c r="D18">
        <f t="shared" si="3"/>
        <v>1.1337839962062328</v>
      </c>
      <c r="E18">
        <f t="shared" si="3"/>
        <v>0.98478350728184061</v>
      </c>
      <c r="F18">
        <f t="shared" si="3"/>
        <v>0.8100236637516236</v>
      </c>
      <c r="G18">
        <f t="shared" si="3"/>
        <v>0.28923328761882594</v>
      </c>
      <c r="H18">
        <f t="shared" si="3"/>
        <v>0.13886166882289422</v>
      </c>
      <c r="I18">
        <f t="shared" si="3"/>
        <v>0.39647452703653802</v>
      </c>
      <c r="K18">
        <v>36120.763685102575</v>
      </c>
    </row>
    <row r="19" spans="2:11" x14ac:dyDescent="0.25">
      <c r="B19">
        <f t="shared" ref="B19:I19" si="4">B6/$B$13</f>
        <v>0.48436033233359255</v>
      </c>
      <c r="C19">
        <f t="shared" si="4"/>
        <v>2.4058692499420742</v>
      </c>
      <c r="D19">
        <f t="shared" si="4"/>
        <v>1.3560532681408313</v>
      </c>
      <c r="E19">
        <f t="shared" si="4"/>
        <v>1.1878395596689746</v>
      </c>
      <c r="F19">
        <f t="shared" si="4"/>
        <v>0.90241046429004423</v>
      </c>
      <c r="G19">
        <f t="shared" si="4"/>
        <v>0.35782295549740695</v>
      </c>
      <c r="H19">
        <f t="shared" si="4"/>
        <v>0.16940151431966555</v>
      </c>
      <c r="I19">
        <f t="shared" si="4"/>
        <v>0.49268514852862055</v>
      </c>
      <c r="K19">
        <v>39005.870371332727</v>
      </c>
    </row>
    <row r="20" spans="2:11" x14ac:dyDescent="0.25">
      <c r="B20">
        <f t="shared" ref="B20:I20" si="5">B7/$B$13</f>
        <v>0.52175373542555237</v>
      </c>
      <c r="C20">
        <f t="shared" si="5"/>
        <v>2.7879745807222003</v>
      </c>
      <c r="D20">
        <f t="shared" si="5"/>
        <v>1.5930737897193974</v>
      </c>
      <c r="E20">
        <f t="shared" si="5"/>
        <v>1.4060791982830207</v>
      </c>
      <c r="F20">
        <f t="shared" si="5"/>
        <v>1.0030370372830149</v>
      </c>
      <c r="G20">
        <f t="shared" si="5"/>
        <v>0.43059384914384868</v>
      </c>
      <c r="H20">
        <f t="shared" si="5"/>
        <v>0.2007663199297321</v>
      </c>
      <c r="I20">
        <f t="shared" si="5"/>
        <v>0.57313407890225876</v>
      </c>
      <c r="K20">
        <v>42017.186815684785</v>
      </c>
    </row>
    <row r="21" spans="2:11" x14ac:dyDescent="0.25">
      <c r="B21">
        <f t="shared" ref="B21:I21" si="6">B8/$B$13</f>
        <v>0.56165094953142336</v>
      </c>
      <c r="C21">
        <f t="shared" si="6"/>
        <v>3.1784658369178143</v>
      </c>
      <c r="D21">
        <f t="shared" si="6"/>
        <v>1.8266496263674845</v>
      </c>
      <c r="E21">
        <f t="shared" si="6"/>
        <v>1.6335159029297257</v>
      </c>
      <c r="F21">
        <f t="shared" si="6"/>
        <v>1.0807556795924296</v>
      </c>
      <c r="G21">
        <f t="shared" si="6"/>
        <v>0.50764773311307831</v>
      </c>
      <c r="H21">
        <f t="shared" si="6"/>
        <v>0.22884586712723315</v>
      </c>
      <c r="I21">
        <f t="shared" si="6"/>
        <v>0.66823135649462984</v>
      </c>
      <c r="K21">
        <v>45230.136881379047</v>
      </c>
    </row>
    <row r="22" spans="2:11" x14ac:dyDescent="0.25">
      <c r="B22">
        <f t="shared" ref="B22:I22" si="7">B9/$B$13</f>
        <v>0.60239728086388045</v>
      </c>
      <c r="C22">
        <f t="shared" si="7"/>
        <v>3.5676674573956211</v>
      </c>
      <c r="D22">
        <f t="shared" si="7"/>
        <v>2.0652444580500968</v>
      </c>
      <c r="E22">
        <f t="shared" si="7"/>
        <v>1.8818842802368085</v>
      </c>
      <c r="F22">
        <f t="shared" si="7"/>
        <v>1.1035085482165572</v>
      </c>
      <c r="G22">
        <f t="shared" si="7"/>
        <v>0.57268719937526735</v>
      </c>
      <c r="H22">
        <f t="shared" si="7"/>
        <v>0.24561151157858996</v>
      </c>
      <c r="I22">
        <f t="shared" si="7"/>
        <v>0.72315486219040015</v>
      </c>
      <c r="K22">
        <v>48511.466940766666</v>
      </c>
    </row>
    <row r="23" spans="2:11" x14ac:dyDescent="0.25">
      <c r="B23">
        <f t="shared" ref="B23:I23" si="8">B10/$B$13</f>
        <v>0.64405987033528278</v>
      </c>
      <c r="C23">
        <f t="shared" si="8"/>
        <v>3.9549167736894764</v>
      </c>
      <c r="D23">
        <f t="shared" si="8"/>
        <v>2.3227434586683815</v>
      </c>
      <c r="E23">
        <f t="shared" si="8"/>
        <v>2.143686396489338</v>
      </c>
      <c r="F23">
        <f t="shared" si="8"/>
        <v>1.1314144554569385</v>
      </c>
      <c r="G23">
        <f t="shared" si="8"/>
        <v>0.63894642822713865</v>
      </c>
      <c r="H23">
        <f t="shared" si="8"/>
        <v>0.25646808573189039</v>
      </c>
      <c r="I23">
        <f t="shared" si="8"/>
        <v>0.7823673307276926</v>
      </c>
      <c r="K23">
        <v>51866.583897653072</v>
      </c>
    </row>
    <row r="24" spans="2:11" x14ac:dyDescent="0.25">
      <c r="B24">
        <f t="shared" ref="B24:H24" si="9">B11/$B$13</f>
        <v>0.69197060224616691</v>
      </c>
      <c r="C24">
        <f t="shared" si="9"/>
        <v>4.3071793917957324</v>
      </c>
      <c r="D24">
        <f t="shared" si="9"/>
        <v>2.5801337285312296</v>
      </c>
      <c r="E24">
        <f t="shared" si="9"/>
        <v>2.4029211229465437</v>
      </c>
      <c r="F24">
        <f t="shared" si="9"/>
        <v>1.1543660692284674</v>
      </c>
      <c r="G24">
        <f t="shared" si="9"/>
        <v>0.70836189130859439</v>
      </c>
      <c r="H24">
        <f t="shared" si="9"/>
        <v>0.26793532165461337</v>
      </c>
      <c r="I24">
        <f>I11/$B$13</f>
        <v>0.8623942813587645</v>
      </c>
      <c r="K24">
        <v>55724.86805834798</v>
      </c>
    </row>
    <row r="25" spans="2:11" x14ac:dyDescent="0.25">
      <c r="K25">
        <v>86020.796837350936</v>
      </c>
    </row>
    <row r="26" spans="2:11" x14ac:dyDescent="0.25">
      <c r="K26">
        <v>109469.38034096525</v>
      </c>
    </row>
    <row r="27" spans="2:11" x14ac:dyDescent="0.25">
      <c r="K27">
        <v>134942.83982823259</v>
      </c>
    </row>
    <row r="28" spans="2:11" x14ac:dyDescent="0.25">
      <c r="K28">
        <v>163541.07720472227</v>
      </c>
    </row>
    <row r="29" spans="2:11" x14ac:dyDescent="0.25">
      <c r="K29">
        <v>193746.30379306892</v>
      </c>
    </row>
    <row r="30" spans="2:11" x14ac:dyDescent="0.25">
      <c r="K30">
        <v>224517.5086289343</v>
      </c>
    </row>
    <row r="31" spans="2:11" x14ac:dyDescent="0.25">
      <c r="K31">
        <v>255964.0378005566</v>
      </c>
    </row>
    <row r="32" spans="2:11" x14ac:dyDescent="0.25">
      <c r="K32">
        <v>287306.71172170318</v>
      </c>
    </row>
    <row r="33" spans="11:11" x14ac:dyDescent="0.25">
      <c r="K33">
        <v>318492.16524546966</v>
      </c>
    </row>
    <row r="34" spans="11:11" x14ac:dyDescent="0.25">
      <c r="K34">
        <v>346860.11592450168</v>
      </c>
    </row>
    <row r="35" spans="11:11" x14ac:dyDescent="0.25">
      <c r="K35">
        <v>48084.568699807249</v>
      </c>
    </row>
    <row r="36" spans="11:11" x14ac:dyDescent="0.25">
      <c r="K36">
        <v>60564.410104625757</v>
      </c>
    </row>
    <row r="37" spans="11:11" x14ac:dyDescent="0.25">
      <c r="K37">
        <v>74944.296734581687</v>
      </c>
    </row>
    <row r="38" spans="11:11" x14ac:dyDescent="0.25">
      <c r="K38">
        <v>91304.404248061837</v>
      </c>
    </row>
    <row r="39" spans="11:11" x14ac:dyDescent="0.25">
      <c r="K39">
        <v>109203.90144024791</v>
      </c>
    </row>
    <row r="40" spans="11:11" x14ac:dyDescent="0.25">
      <c r="K40">
        <v>128291.32690198411</v>
      </c>
    </row>
    <row r="41" spans="11:11" x14ac:dyDescent="0.25">
      <c r="K41">
        <v>147101.34951939364</v>
      </c>
    </row>
    <row r="42" spans="11:11" x14ac:dyDescent="0.25">
      <c r="K42">
        <v>166315.55525553186</v>
      </c>
    </row>
    <row r="43" spans="11:11" x14ac:dyDescent="0.25">
      <c r="K43">
        <v>187052.12670529081</v>
      </c>
    </row>
    <row r="44" spans="11:11" x14ac:dyDescent="0.25">
      <c r="K44">
        <v>207779.94199260455</v>
      </c>
    </row>
    <row r="45" spans="11:11" x14ac:dyDescent="0.25">
      <c r="K45">
        <v>39588.917883898524</v>
      </c>
    </row>
    <row r="46" spans="11:11" x14ac:dyDescent="0.25">
      <c r="K46">
        <v>50843.332767044267</v>
      </c>
    </row>
    <row r="47" spans="11:11" x14ac:dyDescent="0.25">
      <c r="K47">
        <v>64213.49402140802</v>
      </c>
    </row>
    <row r="48" spans="11:11" x14ac:dyDescent="0.25">
      <c r="K48">
        <v>79305.292495352856</v>
      </c>
    </row>
    <row r="49" spans="11:11" x14ac:dyDescent="0.25">
      <c r="K49">
        <v>95657.535915798988</v>
      </c>
    </row>
    <row r="50" spans="11:11" x14ac:dyDescent="0.25">
      <c r="K50">
        <v>113232.52396788228</v>
      </c>
    </row>
    <row r="51" spans="11:11" x14ac:dyDescent="0.25">
      <c r="K51">
        <v>131548.15806696558</v>
      </c>
    </row>
    <row r="52" spans="11:11" x14ac:dyDescent="0.25">
      <c r="K52">
        <v>151549.4341477369</v>
      </c>
    </row>
    <row r="53" spans="11:11" x14ac:dyDescent="0.25">
      <c r="K53">
        <v>172632.53845623255</v>
      </c>
    </row>
    <row r="54" spans="11:11" x14ac:dyDescent="0.25">
      <c r="K54">
        <v>193508.88910043324</v>
      </c>
    </row>
    <row r="55" spans="11:11" x14ac:dyDescent="0.25">
      <c r="K55">
        <v>33951.853386288087</v>
      </c>
    </row>
    <row r="56" spans="11:11" x14ac:dyDescent="0.25">
      <c r="K56">
        <v>42568.215461204432</v>
      </c>
    </row>
    <row r="57" spans="11:11" x14ac:dyDescent="0.25">
      <c r="K57">
        <v>52699.04437692881</v>
      </c>
    </row>
    <row r="58" spans="11:11" x14ac:dyDescent="0.25">
      <c r="K58">
        <v>65231.762216743642</v>
      </c>
    </row>
    <row r="59" spans="11:11" x14ac:dyDescent="0.25">
      <c r="K59">
        <v>72671.734743936249</v>
      </c>
    </row>
    <row r="60" spans="11:11" x14ac:dyDescent="0.25">
      <c r="K60">
        <v>80775.261808518379</v>
      </c>
    </row>
    <row r="61" spans="11:11" x14ac:dyDescent="0.25">
      <c r="K61">
        <v>87033.997474900607</v>
      </c>
    </row>
    <row r="62" spans="11:11" x14ac:dyDescent="0.25">
      <c r="K62">
        <v>88866.301618910162</v>
      </c>
    </row>
    <row r="63" spans="11:11" x14ac:dyDescent="0.25">
      <c r="K63">
        <v>91113.583503387592</v>
      </c>
    </row>
    <row r="64" spans="11:11" x14ac:dyDescent="0.25">
      <c r="K64">
        <v>92961.892730677006</v>
      </c>
    </row>
    <row r="65" spans="11:11" x14ac:dyDescent="0.25">
      <c r="K65">
        <v>12063.61724964922</v>
      </c>
    </row>
    <row r="66" spans="11:11" x14ac:dyDescent="0.25">
      <c r="K66">
        <v>15085.749993682895</v>
      </c>
    </row>
    <row r="67" spans="11:11" x14ac:dyDescent="0.25">
      <c r="K67">
        <v>18678.047994289336</v>
      </c>
    </row>
    <row r="68" spans="11:11" x14ac:dyDescent="0.25">
      <c r="K68">
        <v>23292.155386837559</v>
      </c>
    </row>
    <row r="69" spans="11:11" x14ac:dyDescent="0.25">
      <c r="K69">
        <v>28815.728469701153</v>
      </c>
    </row>
    <row r="70" spans="11:11" x14ac:dyDescent="0.25">
      <c r="K70">
        <v>34676.018536609845</v>
      </c>
    </row>
    <row r="71" spans="11:11" x14ac:dyDescent="0.25">
      <c r="K71">
        <v>40881.220757095303</v>
      </c>
    </row>
    <row r="72" spans="11:11" x14ac:dyDescent="0.25">
      <c r="K72">
        <v>46118.893664414158</v>
      </c>
    </row>
    <row r="73" spans="11:11" x14ac:dyDescent="0.25">
      <c r="K73">
        <v>51454.794891190395</v>
      </c>
    </row>
    <row r="74" spans="11:11" x14ac:dyDescent="0.25">
      <c r="K74">
        <v>57044.869829153082</v>
      </c>
    </row>
    <row r="75" spans="11:11" x14ac:dyDescent="0.25">
      <c r="K75">
        <v>5189.694294986165</v>
      </c>
    </row>
    <row r="76" spans="11:11" x14ac:dyDescent="0.25">
      <c r="K76">
        <v>6801.0018426674924</v>
      </c>
    </row>
    <row r="77" spans="11:11" x14ac:dyDescent="0.25">
      <c r="K77">
        <v>8829.2485657714133</v>
      </c>
    </row>
    <row r="78" spans="11:11" x14ac:dyDescent="0.25">
      <c r="K78">
        <v>11182.625603457358</v>
      </c>
    </row>
    <row r="79" spans="11:11" x14ac:dyDescent="0.25">
      <c r="K79">
        <v>13642.020345525452</v>
      </c>
    </row>
    <row r="80" spans="11:11" x14ac:dyDescent="0.25">
      <c r="K80">
        <v>16167.849692355008</v>
      </c>
    </row>
    <row r="81" spans="11:11" x14ac:dyDescent="0.25">
      <c r="K81">
        <v>18429.114921888926</v>
      </c>
    </row>
    <row r="82" spans="11:11" x14ac:dyDescent="0.25">
      <c r="K82">
        <v>19779.263789387591</v>
      </c>
    </row>
    <row r="83" spans="11:11" x14ac:dyDescent="0.25">
      <c r="K83">
        <v>20653.551165606383</v>
      </c>
    </row>
    <row r="84" spans="11:11" x14ac:dyDescent="0.25">
      <c r="K84">
        <v>21577.015553708174</v>
      </c>
    </row>
    <row r="85" spans="11:11" x14ac:dyDescent="0.25">
      <c r="K85">
        <v>14155.505626120583</v>
      </c>
    </row>
    <row r="86" spans="11:11" x14ac:dyDescent="0.25">
      <c r="K86">
        <v>18955.357086013006</v>
      </c>
    </row>
    <row r="87" spans="11:11" x14ac:dyDescent="0.25">
      <c r="K87">
        <v>24867.947105755757</v>
      </c>
    </row>
    <row r="88" spans="11:11" x14ac:dyDescent="0.25">
      <c r="K88">
        <v>31928.366083603207</v>
      </c>
    </row>
    <row r="89" spans="11:11" x14ac:dyDescent="0.25">
      <c r="K89">
        <v>39676.273539577298</v>
      </c>
    </row>
    <row r="90" spans="11:11" x14ac:dyDescent="0.25">
      <c r="K90">
        <v>46154.881179777876</v>
      </c>
    </row>
    <row r="91" spans="11:11" x14ac:dyDescent="0.25">
      <c r="K91">
        <v>53813.130286519205</v>
      </c>
    </row>
    <row r="92" spans="11:11" x14ac:dyDescent="0.25">
      <c r="K92">
        <v>58236.157938653363</v>
      </c>
    </row>
    <row r="93" spans="11:11" x14ac:dyDescent="0.25">
      <c r="K93">
        <v>63004.578715401731</v>
      </c>
    </row>
    <row r="94" spans="11:11" x14ac:dyDescent="0.25">
      <c r="K94">
        <v>69449.204036987227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3B90-194D-4036-8770-A06BFD1F13DF}">
  <dimension ref="A1:K94"/>
  <sheetViews>
    <sheetView workbookViewId="0">
      <selection activeCell="B14" sqref="B14"/>
    </sheetView>
  </sheetViews>
  <sheetFormatPr defaultColWidth="8.77734375" defaultRowHeight="13.8" x14ac:dyDescent="0.25"/>
  <sheetData>
    <row r="1" spans="1:11" x14ac:dyDescent="0.25"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3" t="s">
        <v>9</v>
      </c>
    </row>
    <row r="2" spans="1:11" x14ac:dyDescent="0.25">
      <c r="A2" s="1">
        <v>40908</v>
      </c>
      <c r="B2">
        <v>1104.33</v>
      </c>
      <c r="C2">
        <v>4758.2300000000005</v>
      </c>
      <c r="D2">
        <v>3385</v>
      </c>
      <c r="E2">
        <v>4120.8999999999996</v>
      </c>
      <c r="F2">
        <v>1388</v>
      </c>
      <c r="G2">
        <v>1379</v>
      </c>
      <c r="H2">
        <v>478.5</v>
      </c>
      <c r="I2">
        <v>1246.1199999999999</v>
      </c>
    </row>
    <row r="3" spans="1:11" x14ac:dyDescent="0.25">
      <c r="A3" s="1">
        <v>41274</v>
      </c>
      <c r="B3">
        <v>1115.5</v>
      </c>
      <c r="C3">
        <v>4759.5300000000007</v>
      </c>
      <c r="D3">
        <v>3407</v>
      </c>
      <c r="E3">
        <v>4206.8</v>
      </c>
      <c r="F3">
        <v>1379</v>
      </c>
      <c r="G3">
        <v>1358</v>
      </c>
      <c r="H3">
        <v>487.9</v>
      </c>
      <c r="I3">
        <v>1257.8499999999999</v>
      </c>
    </row>
    <row r="4" spans="1:11" x14ac:dyDescent="0.25">
      <c r="A4" s="1">
        <v>41639</v>
      </c>
      <c r="B4">
        <v>1137.3499999999999</v>
      </c>
      <c r="C4">
        <v>4759.8900000000003</v>
      </c>
      <c r="D4">
        <v>3436</v>
      </c>
      <c r="E4">
        <v>4275.8999999999996</v>
      </c>
      <c r="F4">
        <v>1370</v>
      </c>
      <c r="G4">
        <v>1352</v>
      </c>
      <c r="H4">
        <v>494</v>
      </c>
      <c r="I4">
        <v>1271.9000000000001</v>
      </c>
    </row>
    <row r="5" spans="1:11" x14ac:dyDescent="0.25">
      <c r="A5" s="1">
        <v>42004</v>
      </c>
      <c r="B5">
        <v>1365.63</v>
      </c>
      <c r="C5">
        <v>4760.83</v>
      </c>
      <c r="D5">
        <v>3459</v>
      </c>
      <c r="E5">
        <v>4311</v>
      </c>
      <c r="F5">
        <v>1360</v>
      </c>
      <c r="G5">
        <v>1348</v>
      </c>
      <c r="H5">
        <v>499.15</v>
      </c>
      <c r="I5">
        <v>1276.21</v>
      </c>
    </row>
    <row r="6" spans="1:11" x14ac:dyDescent="0.25">
      <c r="A6" s="1">
        <v>42369</v>
      </c>
      <c r="B6">
        <v>1361.51</v>
      </c>
      <c r="C6">
        <v>4758.5</v>
      </c>
      <c r="D6">
        <v>3505</v>
      </c>
      <c r="E6">
        <v>4342.1000000000004</v>
      </c>
      <c r="F6">
        <v>1351</v>
      </c>
      <c r="G6">
        <v>1346</v>
      </c>
      <c r="H6">
        <v>503.1</v>
      </c>
      <c r="I6">
        <v>1305.42</v>
      </c>
    </row>
    <row r="7" spans="1:11" x14ac:dyDescent="0.25">
      <c r="A7" s="1">
        <v>42735</v>
      </c>
      <c r="B7">
        <v>1365.24</v>
      </c>
      <c r="C7">
        <v>4756.22</v>
      </c>
      <c r="D7">
        <v>3552</v>
      </c>
      <c r="E7">
        <v>4361.6000000000004</v>
      </c>
      <c r="F7">
        <v>1326</v>
      </c>
      <c r="G7">
        <v>1341</v>
      </c>
      <c r="H7">
        <v>509.4</v>
      </c>
      <c r="I7">
        <v>1332.66</v>
      </c>
    </row>
    <row r="8" spans="1:11" x14ac:dyDescent="0.25">
      <c r="A8" s="1">
        <v>43100</v>
      </c>
      <c r="B8">
        <v>1372.65</v>
      </c>
      <c r="C8">
        <v>4757.8</v>
      </c>
      <c r="D8">
        <v>3613</v>
      </c>
      <c r="E8">
        <v>4377.8999999999996</v>
      </c>
      <c r="F8">
        <v>1317</v>
      </c>
      <c r="G8">
        <v>1337</v>
      </c>
      <c r="H8">
        <v>514.4</v>
      </c>
      <c r="I8">
        <v>1349.79</v>
      </c>
    </row>
    <row r="9" spans="1:11" x14ac:dyDescent="0.25">
      <c r="A9" s="1">
        <v>43465</v>
      </c>
      <c r="B9">
        <v>1375.6599999999999</v>
      </c>
      <c r="C9">
        <v>4750.8999999999996</v>
      </c>
      <c r="D9">
        <v>3691</v>
      </c>
      <c r="E9">
        <v>4385.2999999999993</v>
      </c>
      <c r="F9">
        <v>1304</v>
      </c>
      <c r="G9">
        <v>1337</v>
      </c>
      <c r="H9">
        <v>518.36</v>
      </c>
      <c r="I9">
        <v>1343.95</v>
      </c>
    </row>
    <row r="10" spans="1:11" x14ac:dyDescent="0.25">
      <c r="A10" s="1">
        <v>43830</v>
      </c>
      <c r="B10">
        <v>1376.2</v>
      </c>
      <c r="C10">
        <v>4745.2000000000007</v>
      </c>
      <c r="D10">
        <v>3771</v>
      </c>
      <c r="E10">
        <v>4384</v>
      </c>
      <c r="F10">
        <v>1272</v>
      </c>
      <c r="G10">
        <v>1333</v>
      </c>
      <c r="H10">
        <v>523.29999999999995</v>
      </c>
      <c r="I10">
        <v>1355.06</v>
      </c>
    </row>
    <row r="11" spans="1:11" x14ac:dyDescent="0.25">
      <c r="A11" s="1">
        <v>44196</v>
      </c>
      <c r="B11">
        <v>1374</v>
      </c>
      <c r="C11">
        <v>4893</v>
      </c>
      <c r="D11">
        <v>3857</v>
      </c>
      <c r="E11">
        <v>3243</v>
      </c>
      <c r="F11">
        <v>1242</v>
      </c>
      <c r="G11">
        <v>1331</v>
      </c>
      <c r="H11">
        <v>559.1</v>
      </c>
      <c r="I11">
        <v>1369.07</v>
      </c>
    </row>
    <row r="13" spans="1:11" x14ac:dyDescent="0.25">
      <c r="B13">
        <f>AVERAGE(B2:I11)</f>
        <v>2291.236375</v>
      </c>
    </row>
    <row r="14" spans="1:11" x14ac:dyDescent="0.25">
      <c r="B14" t="s">
        <v>122</v>
      </c>
    </row>
    <row r="15" spans="1:11" x14ac:dyDescent="0.25">
      <c r="B15">
        <f>B2/$B$13</f>
        <v>0.48197995285405676</v>
      </c>
      <c r="C15">
        <f t="shared" ref="C15:I15" si="0">C2/$B$13</f>
        <v>2.0767084757896273</v>
      </c>
      <c r="D15">
        <f t="shared" si="0"/>
        <v>1.4773683051361299</v>
      </c>
      <c r="E15">
        <f t="shared" si="0"/>
        <v>1.7985486111183093</v>
      </c>
      <c r="F15">
        <f t="shared" si="0"/>
        <v>0.60578647194355928</v>
      </c>
      <c r="G15">
        <f t="shared" si="0"/>
        <v>0.60185846167879564</v>
      </c>
      <c r="H15">
        <f t="shared" si="0"/>
        <v>0.20883921240993741</v>
      </c>
      <c r="I15">
        <f t="shared" si="0"/>
        <v>0.54386357234748417</v>
      </c>
      <c r="K15">
        <v>1104.33</v>
      </c>
    </row>
    <row r="16" spans="1:11" x14ac:dyDescent="0.25">
      <c r="B16">
        <f t="shared" ref="B16:I16" si="1">B3/$B$13</f>
        <v>0.48685505003821355</v>
      </c>
      <c r="C16">
        <f t="shared" si="1"/>
        <v>2.0772758550500932</v>
      </c>
      <c r="D16">
        <f t="shared" si="1"/>
        <v>1.4869701080055522</v>
      </c>
      <c r="E16">
        <f t="shared" si="1"/>
        <v>1.8360392868675544</v>
      </c>
      <c r="F16">
        <f t="shared" si="1"/>
        <v>0.60185846167879564</v>
      </c>
      <c r="G16">
        <f t="shared" si="1"/>
        <v>0.59269310439434697</v>
      </c>
      <c r="H16">
        <f t="shared" si="1"/>
        <v>0.21294180090869061</v>
      </c>
      <c r="I16">
        <f t="shared" si="1"/>
        <v>0.54898307905922628</v>
      </c>
      <c r="K16">
        <v>1115.5</v>
      </c>
    </row>
    <row r="17" spans="2:11" x14ac:dyDescent="0.25">
      <c r="B17">
        <f t="shared" ref="B17:I17" si="2">B4/$B$13</f>
        <v>0.49639138606988986</v>
      </c>
      <c r="C17">
        <f t="shared" si="2"/>
        <v>2.0774329754606833</v>
      </c>
      <c r="D17">
        <f t="shared" si="2"/>
        <v>1.4996270299697909</v>
      </c>
      <c r="E17">
        <f t="shared" si="2"/>
        <v>1.8661976767892399</v>
      </c>
      <c r="F17">
        <f t="shared" si="2"/>
        <v>0.59793045141403189</v>
      </c>
      <c r="G17">
        <f t="shared" si="2"/>
        <v>0.59007443088450451</v>
      </c>
      <c r="H17">
        <f t="shared" si="2"/>
        <v>0.21560411897703047</v>
      </c>
      <c r="I17">
        <f t="shared" si="2"/>
        <v>0.55511513952810743</v>
      </c>
      <c r="K17">
        <v>1137.3499999999999</v>
      </c>
    </row>
    <row r="18" spans="2:11" x14ac:dyDescent="0.25">
      <c r="B18">
        <f t="shared" ref="B18:I18" si="3">B5/$B$13</f>
        <v>0.59602318420769662</v>
      </c>
      <c r="C18">
        <f t="shared" si="3"/>
        <v>2.0778432343105586</v>
      </c>
      <c r="D18">
        <f t="shared" si="3"/>
        <v>1.5096652784241871</v>
      </c>
      <c r="E18">
        <f t="shared" si="3"/>
        <v>1.8815169168218187</v>
      </c>
      <c r="F18">
        <f t="shared" si="3"/>
        <v>0.59356599556429446</v>
      </c>
      <c r="G18">
        <f t="shared" si="3"/>
        <v>0.58832864854460942</v>
      </c>
      <c r="H18">
        <f t="shared" si="3"/>
        <v>0.21785181373964527</v>
      </c>
      <c r="I18">
        <f t="shared" si="3"/>
        <v>0.55699621999934423</v>
      </c>
      <c r="K18">
        <v>1365.63</v>
      </c>
    </row>
    <row r="19" spans="2:11" x14ac:dyDescent="0.25">
      <c r="B19">
        <f t="shared" ref="B19:I19" si="4">B6/$B$13</f>
        <v>0.59422502839760483</v>
      </c>
      <c r="C19">
        <f t="shared" si="4"/>
        <v>2.07682631609757</v>
      </c>
      <c r="D19">
        <f t="shared" si="4"/>
        <v>1.5297417753329794</v>
      </c>
      <c r="E19">
        <f t="shared" si="4"/>
        <v>1.8950903745145022</v>
      </c>
      <c r="F19">
        <f t="shared" si="4"/>
        <v>0.58963798529953071</v>
      </c>
      <c r="G19">
        <f t="shared" si="4"/>
        <v>0.58745575737466194</v>
      </c>
      <c r="H19">
        <f t="shared" si="4"/>
        <v>0.21957577380029158</v>
      </c>
      <c r="I19">
        <f t="shared" si="4"/>
        <v>0.56974479553642743</v>
      </c>
      <c r="K19">
        <v>1361.51</v>
      </c>
    </row>
    <row r="20" spans="2:11" x14ac:dyDescent="0.25">
      <c r="B20">
        <f t="shared" ref="B20:I20" si="5">B7/$B$13</f>
        <v>0.59585297042955687</v>
      </c>
      <c r="C20">
        <f t="shared" si="5"/>
        <v>2.0758312201638298</v>
      </c>
      <c r="D20">
        <f t="shared" si="5"/>
        <v>1.5502547178267454</v>
      </c>
      <c r="E20">
        <f t="shared" si="5"/>
        <v>1.9036010634214902</v>
      </c>
      <c r="F20">
        <f t="shared" si="5"/>
        <v>0.57872684567518706</v>
      </c>
      <c r="G20">
        <f t="shared" si="5"/>
        <v>0.58527352944979327</v>
      </c>
      <c r="H20">
        <f t="shared" si="5"/>
        <v>0.22232538098562615</v>
      </c>
      <c r="I20">
        <f t="shared" si="5"/>
        <v>0.5816335732711122</v>
      </c>
      <c r="K20">
        <v>1365.24</v>
      </c>
    </row>
    <row r="21" spans="2:11" x14ac:dyDescent="0.25">
      <c r="B21">
        <f t="shared" ref="B21:I21" si="6">B8/$B$13</f>
        <v>0.59908703221421233</v>
      </c>
      <c r="C21">
        <f t="shared" si="6"/>
        <v>2.0765208041880885</v>
      </c>
      <c r="D21">
        <f t="shared" si="6"/>
        <v>1.5768778985101439</v>
      </c>
      <c r="E21">
        <f t="shared" si="6"/>
        <v>1.9107151264565621</v>
      </c>
      <c r="F21">
        <f t="shared" si="6"/>
        <v>0.57479883541042331</v>
      </c>
      <c r="G21">
        <f t="shared" si="6"/>
        <v>0.5835277471098983</v>
      </c>
      <c r="H21">
        <f t="shared" si="6"/>
        <v>0.22450760891049487</v>
      </c>
      <c r="I21">
        <f t="shared" si="6"/>
        <v>0.58910988614171245</v>
      </c>
      <c r="K21">
        <v>1372.65</v>
      </c>
    </row>
    <row r="22" spans="2:11" x14ac:dyDescent="0.25">
      <c r="B22">
        <f t="shared" ref="B22:I22" si="7">B9/$B$13</f>
        <v>0.60040073342498324</v>
      </c>
      <c r="C22">
        <f t="shared" si="7"/>
        <v>2.073509329651769</v>
      </c>
      <c r="D22">
        <f t="shared" si="7"/>
        <v>1.610920654138096</v>
      </c>
      <c r="E22">
        <f t="shared" si="7"/>
        <v>1.9139448237853676</v>
      </c>
      <c r="F22">
        <f t="shared" si="7"/>
        <v>0.5691250428057647</v>
      </c>
      <c r="G22">
        <f t="shared" si="7"/>
        <v>0.5835277471098983</v>
      </c>
      <c r="H22">
        <f t="shared" si="7"/>
        <v>0.22623593342699094</v>
      </c>
      <c r="I22">
        <f t="shared" si="7"/>
        <v>0.58656104392546582</v>
      </c>
      <c r="K22">
        <v>1375.6599999999999</v>
      </c>
    </row>
    <row r="23" spans="2:11" x14ac:dyDescent="0.25">
      <c r="B23">
        <f t="shared" ref="B23:I23" si="8">B10/$B$13</f>
        <v>0.60063641404086909</v>
      </c>
      <c r="C23">
        <f t="shared" si="8"/>
        <v>2.0710215898174194</v>
      </c>
      <c r="D23">
        <f t="shared" si="8"/>
        <v>1.6458363009359958</v>
      </c>
      <c r="E23">
        <f t="shared" si="8"/>
        <v>1.9133774445249021</v>
      </c>
      <c r="F23">
        <f t="shared" si="8"/>
        <v>0.5551587840866048</v>
      </c>
      <c r="G23">
        <f t="shared" si="8"/>
        <v>0.58178196477000332</v>
      </c>
      <c r="H23">
        <f t="shared" si="8"/>
        <v>0.2283919746167612</v>
      </c>
      <c r="I23">
        <f t="shared" si="8"/>
        <v>0.59140995437452404</v>
      </c>
      <c r="K23">
        <v>1376.2</v>
      </c>
    </row>
    <row r="24" spans="2:11" x14ac:dyDescent="0.25">
      <c r="B24">
        <f t="shared" ref="B24:I24" si="9">B11/$B$13</f>
        <v>0.59967623375392687</v>
      </c>
      <c r="C24">
        <f t="shared" si="9"/>
        <v>2.1355282472765387</v>
      </c>
      <c r="D24">
        <f t="shared" si="9"/>
        <v>1.6833706212437378</v>
      </c>
      <c r="E24">
        <f t="shared" si="9"/>
        <v>1.415393032069858</v>
      </c>
      <c r="F24">
        <f t="shared" si="9"/>
        <v>0.54206541653739237</v>
      </c>
      <c r="G24">
        <f t="shared" si="9"/>
        <v>0.58090907360005584</v>
      </c>
      <c r="H24">
        <f t="shared" si="9"/>
        <v>0.24401672655882134</v>
      </c>
      <c r="I24">
        <f t="shared" si="9"/>
        <v>0.59752455702000629</v>
      </c>
      <c r="K24">
        <v>1374</v>
      </c>
    </row>
    <row r="25" spans="2:11" x14ac:dyDescent="0.25">
      <c r="K25">
        <v>4758.2300000000005</v>
      </c>
    </row>
    <row r="26" spans="2:11" x14ac:dyDescent="0.25">
      <c r="K26">
        <v>4759.5300000000007</v>
      </c>
    </row>
    <row r="27" spans="2:11" x14ac:dyDescent="0.25">
      <c r="K27">
        <v>4759.8900000000003</v>
      </c>
    </row>
    <row r="28" spans="2:11" x14ac:dyDescent="0.25">
      <c r="K28">
        <v>4760.83</v>
      </c>
    </row>
    <row r="29" spans="2:11" x14ac:dyDescent="0.25">
      <c r="K29">
        <v>4758.5</v>
      </c>
    </row>
    <row r="30" spans="2:11" x14ac:dyDescent="0.25">
      <c r="K30">
        <v>4756.22</v>
      </c>
    </row>
    <row r="31" spans="2:11" x14ac:dyDescent="0.25">
      <c r="K31">
        <v>4757.8</v>
      </c>
    </row>
    <row r="32" spans="2:11" x14ac:dyDescent="0.25">
      <c r="K32">
        <v>4750.8999999999996</v>
      </c>
    </row>
    <row r="33" spans="11:11" x14ac:dyDescent="0.25">
      <c r="K33">
        <v>4745.2000000000007</v>
      </c>
    </row>
    <row r="34" spans="11:11" x14ac:dyDescent="0.25">
      <c r="K34">
        <v>4893</v>
      </c>
    </row>
    <row r="35" spans="11:11" x14ac:dyDescent="0.25">
      <c r="K35">
        <v>3385</v>
      </c>
    </row>
    <row r="36" spans="11:11" x14ac:dyDescent="0.25">
      <c r="K36">
        <v>3407</v>
      </c>
    </row>
    <row r="37" spans="11:11" x14ac:dyDescent="0.25">
      <c r="K37">
        <v>3436</v>
      </c>
    </row>
    <row r="38" spans="11:11" x14ac:dyDescent="0.25">
      <c r="K38">
        <v>3459</v>
      </c>
    </row>
    <row r="39" spans="11:11" x14ac:dyDescent="0.25">
      <c r="K39">
        <v>3505</v>
      </c>
    </row>
    <row r="40" spans="11:11" x14ac:dyDescent="0.25">
      <c r="K40">
        <v>3552</v>
      </c>
    </row>
    <row r="41" spans="11:11" x14ac:dyDescent="0.25">
      <c r="K41">
        <v>3613</v>
      </c>
    </row>
    <row r="42" spans="11:11" x14ac:dyDescent="0.25">
      <c r="K42">
        <v>3691</v>
      </c>
    </row>
    <row r="43" spans="11:11" x14ac:dyDescent="0.25">
      <c r="K43">
        <v>3771</v>
      </c>
    </row>
    <row r="44" spans="11:11" x14ac:dyDescent="0.25">
      <c r="K44">
        <v>3857</v>
      </c>
    </row>
    <row r="45" spans="11:11" x14ac:dyDescent="0.25">
      <c r="K45">
        <v>4120.8999999999996</v>
      </c>
    </row>
    <row r="46" spans="11:11" x14ac:dyDescent="0.25">
      <c r="K46">
        <v>4206.8</v>
      </c>
    </row>
    <row r="47" spans="11:11" x14ac:dyDescent="0.25">
      <c r="K47">
        <v>4275.8999999999996</v>
      </c>
    </row>
    <row r="48" spans="11:11" x14ac:dyDescent="0.25">
      <c r="K48">
        <v>4311</v>
      </c>
    </row>
    <row r="49" spans="11:11" x14ac:dyDescent="0.25">
      <c r="K49">
        <v>4342.1000000000004</v>
      </c>
    </row>
    <row r="50" spans="11:11" x14ac:dyDescent="0.25">
      <c r="K50">
        <v>4361.6000000000004</v>
      </c>
    </row>
    <row r="51" spans="11:11" x14ac:dyDescent="0.25">
      <c r="K51">
        <v>4377.8999999999996</v>
      </c>
    </row>
    <row r="52" spans="11:11" x14ac:dyDescent="0.25">
      <c r="K52">
        <v>4385.2999999999993</v>
      </c>
    </row>
    <row r="53" spans="11:11" x14ac:dyDescent="0.25">
      <c r="K53">
        <v>4384</v>
      </c>
    </row>
    <row r="54" spans="11:11" x14ac:dyDescent="0.25">
      <c r="K54">
        <v>3243</v>
      </c>
    </row>
    <row r="55" spans="11:11" x14ac:dyDescent="0.25">
      <c r="K55">
        <v>1388</v>
      </c>
    </row>
    <row r="56" spans="11:11" x14ac:dyDescent="0.25">
      <c r="K56">
        <v>1379</v>
      </c>
    </row>
    <row r="57" spans="11:11" x14ac:dyDescent="0.25">
      <c r="K57">
        <v>1370</v>
      </c>
    </row>
    <row r="58" spans="11:11" x14ac:dyDescent="0.25">
      <c r="K58">
        <v>1360</v>
      </c>
    </row>
    <row r="59" spans="11:11" x14ac:dyDescent="0.25">
      <c r="K59">
        <v>1351</v>
      </c>
    </row>
    <row r="60" spans="11:11" x14ac:dyDescent="0.25">
      <c r="K60">
        <v>1326</v>
      </c>
    </row>
    <row r="61" spans="11:11" x14ac:dyDescent="0.25">
      <c r="K61">
        <v>1317</v>
      </c>
    </row>
    <row r="62" spans="11:11" x14ac:dyDescent="0.25">
      <c r="K62">
        <v>1304</v>
      </c>
    </row>
    <row r="63" spans="11:11" x14ac:dyDescent="0.25">
      <c r="K63">
        <v>1272</v>
      </c>
    </row>
    <row r="64" spans="11:11" x14ac:dyDescent="0.25">
      <c r="K64">
        <v>1242</v>
      </c>
    </row>
    <row r="65" spans="11:11" x14ac:dyDescent="0.25">
      <c r="K65">
        <v>1379</v>
      </c>
    </row>
    <row r="66" spans="11:11" x14ac:dyDescent="0.25">
      <c r="K66">
        <v>1358</v>
      </c>
    </row>
    <row r="67" spans="11:11" x14ac:dyDescent="0.25">
      <c r="K67">
        <v>1352</v>
      </c>
    </row>
    <row r="68" spans="11:11" x14ac:dyDescent="0.25">
      <c r="K68">
        <v>1348</v>
      </c>
    </row>
    <row r="69" spans="11:11" x14ac:dyDescent="0.25">
      <c r="K69">
        <v>1346</v>
      </c>
    </row>
    <row r="70" spans="11:11" x14ac:dyDescent="0.25">
      <c r="K70">
        <v>1341</v>
      </c>
    </row>
    <row r="71" spans="11:11" x14ac:dyDescent="0.25">
      <c r="K71">
        <v>1337</v>
      </c>
    </row>
    <row r="72" spans="11:11" x14ac:dyDescent="0.25">
      <c r="K72">
        <v>1337</v>
      </c>
    </row>
    <row r="73" spans="11:11" x14ac:dyDescent="0.25">
      <c r="K73">
        <v>1333</v>
      </c>
    </row>
    <row r="74" spans="11:11" x14ac:dyDescent="0.25">
      <c r="K74">
        <v>1331</v>
      </c>
    </row>
    <row r="75" spans="11:11" x14ac:dyDescent="0.25">
      <c r="K75">
        <v>478.5</v>
      </c>
    </row>
    <row r="76" spans="11:11" x14ac:dyDescent="0.25">
      <c r="K76">
        <v>487.9</v>
      </c>
    </row>
    <row r="77" spans="11:11" x14ac:dyDescent="0.25">
      <c r="K77">
        <v>494</v>
      </c>
    </row>
    <row r="78" spans="11:11" x14ac:dyDescent="0.25">
      <c r="K78">
        <v>499.15</v>
      </c>
    </row>
    <row r="79" spans="11:11" x14ac:dyDescent="0.25">
      <c r="K79">
        <v>503.1</v>
      </c>
    </row>
    <row r="80" spans="11:11" x14ac:dyDescent="0.25">
      <c r="K80">
        <v>509.4</v>
      </c>
    </row>
    <row r="81" spans="11:11" x14ac:dyDescent="0.25">
      <c r="K81">
        <v>514.4</v>
      </c>
    </row>
    <row r="82" spans="11:11" x14ac:dyDescent="0.25">
      <c r="K82">
        <v>518.36</v>
      </c>
    </row>
    <row r="83" spans="11:11" x14ac:dyDescent="0.25">
      <c r="K83">
        <v>523.29999999999995</v>
      </c>
    </row>
    <row r="84" spans="11:11" x14ac:dyDescent="0.25">
      <c r="K84">
        <v>559.1</v>
      </c>
    </row>
    <row r="85" spans="11:11" x14ac:dyDescent="0.25">
      <c r="K85">
        <v>1246.1199999999999</v>
      </c>
    </row>
    <row r="86" spans="11:11" x14ac:dyDescent="0.25">
      <c r="K86">
        <v>1257.8499999999999</v>
      </c>
    </row>
    <row r="87" spans="11:11" x14ac:dyDescent="0.25">
      <c r="K87">
        <v>1271.9000000000001</v>
      </c>
    </row>
    <row r="88" spans="11:11" x14ac:dyDescent="0.25">
      <c r="K88">
        <v>1276.21</v>
      </c>
    </row>
    <row r="89" spans="11:11" x14ac:dyDescent="0.25">
      <c r="K89">
        <v>1305.42</v>
      </c>
    </row>
    <row r="90" spans="11:11" x14ac:dyDescent="0.25">
      <c r="K90">
        <v>1332.66</v>
      </c>
    </row>
    <row r="91" spans="11:11" x14ac:dyDescent="0.25">
      <c r="K91">
        <v>1349.79</v>
      </c>
    </row>
    <row r="92" spans="11:11" x14ac:dyDescent="0.25">
      <c r="K92">
        <v>1343.95</v>
      </c>
    </row>
    <row r="93" spans="11:11" x14ac:dyDescent="0.25">
      <c r="K93">
        <v>1355.06</v>
      </c>
    </row>
    <row r="94" spans="11:11" x14ac:dyDescent="0.25">
      <c r="K94">
        <v>1369.07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895F-729F-41B8-9B3B-8BEAE506E4F9}">
  <dimension ref="A1:L94"/>
  <sheetViews>
    <sheetView workbookViewId="0">
      <selection activeCell="B14" sqref="B14"/>
    </sheetView>
  </sheetViews>
  <sheetFormatPr defaultColWidth="8.77734375" defaultRowHeight="13.8" x14ac:dyDescent="0.25"/>
  <sheetData>
    <row r="1" spans="1:12" x14ac:dyDescent="0.25">
      <c r="A1" s="4"/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/>
      <c r="K1" s="4"/>
      <c r="L1" t="s">
        <v>10</v>
      </c>
    </row>
    <row r="2" spans="1:12" x14ac:dyDescent="0.25">
      <c r="A2" s="1">
        <v>40908</v>
      </c>
      <c r="B2" s="4">
        <v>10489.09</v>
      </c>
      <c r="C2" s="4">
        <v>27588.97</v>
      </c>
      <c r="D2" s="4">
        <v>17827.27</v>
      </c>
      <c r="E2" s="4">
        <v>10570.23</v>
      </c>
      <c r="F2" s="4">
        <v>16140.03</v>
      </c>
      <c r="G2" s="4">
        <v>6393.69</v>
      </c>
      <c r="H2" s="4">
        <v>4719.8999999999996</v>
      </c>
      <c r="I2" s="4">
        <v>9474.5</v>
      </c>
      <c r="J2" s="4"/>
      <c r="K2" s="4"/>
    </row>
    <row r="3" spans="1:12" x14ac:dyDescent="0.25">
      <c r="A3" s="1">
        <v>41274</v>
      </c>
      <c r="B3" s="4">
        <v>10573</v>
      </c>
      <c r="C3" s="4">
        <v>28849.84</v>
      </c>
      <c r="D3" s="4">
        <v>18076.18</v>
      </c>
      <c r="E3" s="4">
        <v>11357.95</v>
      </c>
      <c r="F3" s="4">
        <v>16912.919999999998</v>
      </c>
      <c r="G3" s="4">
        <v>6893.76</v>
      </c>
      <c r="H3" s="4">
        <v>4895.2</v>
      </c>
      <c r="I3" s="4">
        <v>11293.7</v>
      </c>
      <c r="J3" s="4"/>
      <c r="K3" s="4"/>
    </row>
    <row r="4" spans="1:12" x14ac:dyDescent="0.25">
      <c r="A4" s="1">
        <v>41639</v>
      </c>
      <c r="B4" s="4">
        <v>10890.39</v>
      </c>
      <c r="C4" s="4">
        <v>29205.38</v>
      </c>
      <c r="D4" s="4">
        <v>18640</v>
      </c>
      <c r="E4" s="4">
        <v>12060.36</v>
      </c>
      <c r="F4" s="4">
        <v>17544.169999999998</v>
      </c>
      <c r="G4" s="4">
        <v>7286.72</v>
      </c>
      <c r="H4" s="4">
        <v>5186.8</v>
      </c>
      <c r="I4" s="4">
        <v>13631.8</v>
      </c>
      <c r="J4" s="4"/>
      <c r="K4" s="4"/>
    </row>
    <row r="5" spans="1:12" x14ac:dyDescent="0.25">
      <c r="A5" s="1">
        <v>42004</v>
      </c>
      <c r="B5" s="4">
        <v>10639.86</v>
      </c>
      <c r="C5" s="4">
        <v>29863.03</v>
      </c>
      <c r="D5" s="4">
        <v>18826</v>
      </c>
      <c r="E5" s="4">
        <v>12011.02</v>
      </c>
      <c r="F5" s="4">
        <v>18167.46</v>
      </c>
      <c r="G5" s="4">
        <v>7521.45</v>
      </c>
      <c r="H5" s="4">
        <v>5336.2</v>
      </c>
      <c r="I5" s="4">
        <v>14926.1</v>
      </c>
      <c r="J5" s="4"/>
      <c r="K5" s="4"/>
    </row>
    <row r="6" spans="1:12" x14ac:dyDescent="0.25">
      <c r="A6" s="1">
        <v>42369</v>
      </c>
      <c r="B6" s="4">
        <v>10930.53</v>
      </c>
      <c r="C6" s="4">
        <v>30374.14</v>
      </c>
      <c r="D6" s="4">
        <v>19610</v>
      </c>
      <c r="E6" s="4">
        <v>12301.23</v>
      </c>
      <c r="F6" s="4">
        <v>18783.71</v>
      </c>
      <c r="G6" s="4">
        <v>7488.5</v>
      </c>
      <c r="H6" s="4">
        <v>5711.9</v>
      </c>
      <c r="I6" s="4">
        <v>15666.1</v>
      </c>
      <c r="J6" s="4"/>
      <c r="K6" s="4"/>
    </row>
    <row r="7" spans="1:12" x14ac:dyDescent="0.25">
      <c r="A7" s="1">
        <v>42735</v>
      </c>
      <c r="B7" s="4">
        <v>11241.73</v>
      </c>
      <c r="C7" s="4">
        <v>31209.71</v>
      </c>
      <c r="D7" s="4">
        <v>20275.599999999999</v>
      </c>
      <c r="E7" s="4">
        <v>12662.89</v>
      </c>
      <c r="F7" s="4">
        <v>19309.66</v>
      </c>
      <c r="G7" s="4">
        <v>7299.93</v>
      </c>
      <c r="H7" s="4">
        <v>5787.5</v>
      </c>
      <c r="I7" s="4">
        <v>16302.2</v>
      </c>
      <c r="J7" s="4"/>
      <c r="K7" s="4"/>
    </row>
    <row r="8" spans="1:12" x14ac:dyDescent="0.25">
      <c r="A8" s="1">
        <v>43100</v>
      </c>
      <c r="B8" s="4">
        <v>11381.85</v>
      </c>
      <c r="C8" s="4">
        <v>31602.09</v>
      </c>
      <c r="D8" s="4">
        <v>21030.01</v>
      </c>
      <c r="E8" s="4">
        <v>13018.71</v>
      </c>
      <c r="F8" s="4">
        <v>19763.439999999999</v>
      </c>
      <c r="G8" s="4">
        <v>7503.63</v>
      </c>
      <c r="H8" s="4">
        <v>6798.2</v>
      </c>
      <c r="I8" s="4">
        <v>17386.3</v>
      </c>
      <c r="J8" s="4"/>
      <c r="K8" s="4"/>
    </row>
    <row r="9" spans="1:12" x14ac:dyDescent="0.25">
      <c r="A9" s="1">
        <v>43465</v>
      </c>
      <c r="B9" s="4">
        <v>11453.73</v>
      </c>
      <c r="C9" s="4">
        <v>31635.200000000001</v>
      </c>
      <c r="D9" s="4">
        <v>21674.560000000001</v>
      </c>
      <c r="E9" s="4">
        <v>13294.71</v>
      </c>
      <c r="F9" s="4">
        <v>23068.47</v>
      </c>
      <c r="G9" s="4">
        <v>7822.54</v>
      </c>
      <c r="H9" s="4">
        <v>7530.2</v>
      </c>
      <c r="I9" s="4">
        <v>17694</v>
      </c>
      <c r="J9" s="4"/>
      <c r="K9" s="4"/>
    </row>
    <row r="10" spans="1:12" x14ac:dyDescent="0.25">
      <c r="A10" s="1">
        <v>43830</v>
      </c>
      <c r="B10" s="4">
        <v>11696.46</v>
      </c>
      <c r="C10" s="4">
        <v>32525.97</v>
      </c>
      <c r="D10" s="4">
        <v>22393</v>
      </c>
      <c r="E10" s="4">
        <v>13869.73</v>
      </c>
      <c r="F10" s="4">
        <v>25345.57</v>
      </c>
      <c r="G10" s="4">
        <v>7818.02</v>
      </c>
      <c r="H10" s="4">
        <v>8166.7</v>
      </c>
      <c r="I10" s="4">
        <v>18489.8</v>
      </c>
      <c r="J10" s="4"/>
      <c r="K10" s="4"/>
    </row>
    <row r="11" spans="1:12" x14ac:dyDescent="0.25">
      <c r="A11" s="1">
        <v>44196</v>
      </c>
      <c r="B11" s="4">
        <v>11099.59</v>
      </c>
      <c r="C11" s="4">
        <v>32672.49</v>
      </c>
      <c r="D11" s="4">
        <v>24660</v>
      </c>
      <c r="E11" s="4">
        <v>14697.9</v>
      </c>
      <c r="F11" s="4">
        <v>27133.65</v>
      </c>
      <c r="G11" s="4">
        <v>8104.71</v>
      </c>
      <c r="H11" s="4">
        <v>8581.7999999999993</v>
      </c>
      <c r="I11" s="4">
        <v>18981.8</v>
      </c>
      <c r="J11" s="4"/>
      <c r="K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2" x14ac:dyDescent="0.25">
      <c r="A13" s="4"/>
      <c r="B13" s="4">
        <f>AVERAGE(B2:I11)</f>
        <v>15470.539124999996</v>
      </c>
      <c r="C13" s="4"/>
      <c r="D13" s="4"/>
      <c r="E13" s="4"/>
      <c r="F13" s="4"/>
      <c r="G13" s="4"/>
      <c r="H13" s="4"/>
      <c r="I13" s="4"/>
      <c r="J13" s="4"/>
      <c r="K13" s="4"/>
    </row>
    <row r="14" spans="1:12" x14ac:dyDescent="0.25">
      <c r="A14" s="4"/>
      <c r="B14" t="s">
        <v>122</v>
      </c>
      <c r="C14" s="4"/>
      <c r="D14" s="4"/>
      <c r="E14" s="4"/>
      <c r="F14" s="4"/>
      <c r="G14" s="4"/>
      <c r="H14" s="4"/>
      <c r="I14" s="4"/>
      <c r="J14" s="4"/>
      <c r="K14" s="4"/>
    </row>
    <row r="15" spans="1:12" x14ac:dyDescent="0.25">
      <c r="A15" s="4"/>
      <c r="B15" s="4">
        <f>B2/$B$13</f>
        <v>0.67800416748566306</v>
      </c>
      <c r="C15" s="4">
        <f t="shared" ref="C15:I15" si="0">C2/$B$13</f>
        <v>1.7833231135052645</v>
      </c>
      <c r="D15" s="4">
        <f t="shared" si="0"/>
        <v>1.1523366998368911</v>
      </c>
      <c r="E15" s="4">
        <f t="shared" si="0"/>
        <v>0.68324897500946025</v>
      </c>
      <c r="F15" s="4">
        <f t="shared" si="0"/>
        <v>1.043275212944462</v>
      </c>
      <c r="G15" s="4">
        <f t="shared" si="0"/>
        <v>0.4132816541388632</v>
      </c>
      <c r="H15" s="4">
        <f t="shared" si="0"/>
        <v>0.30508956164124634</v>
      </c>
      <c r="I15" s="4">
        <f t="shared" si="0"/>
        <v>0.61242209618212018</v>
      </c>
      <c r="J15" s="4"/>
      <c r="K15" s="4"/>
      <c r="L15" s="4">
        <v>10489.09</v>
      </c>
    </row>
    <row r="16" spans="1:12" x14ac:dyDescent="0.25">
      <c r="A16" s="4"/>
      <c r="B16" s="4">
        <f t="shared" ref="B16:I16" si="1">B3/$B$13</f>
        <v>0.68342802500749977</v>
      </c>
      <c r="C16" s="4">
        <f t="shared" si="1"/>
        <v>1.8648244748872</v>
      </c>
      <c r="D16" s="4">
        <f t="shared" si="1"/>
        <v>1.1684259904549388</v>
      </c>
      <c r="E16" s="4">
        <f t="shared" si="1"/>
        <v>0.73416639900065561</v>
      </c>
      <c r="F16" s="4">
        <f t="shared" si="1"/>
        <v>1.0932340407367673</v>
      </c>
      <c r="G16" s="4">
        <f t="shared" si="1"/>
        <v>0.44560567309899757</v>
      </c>
      <c r="H16" s="4">
        <f t="shared" si="1"/>
        <v>0.31642077631861465</v>
      </c>
      <c r="I16" s="4">
        <f t="shared" si="1"/>
        <v>0.73001334399197959</v>
      </c>
      <c r="J16" s="4"/>
      <c r="K16" s="4"/>
      <c r="L16" s="4">
        <v>10573</v>
      </c>
    </row>
    <row r="17" spans="1:12" x14ac:dyDescent="0.25">
      <c r="A17" s="4"/>
      <c r="B17" s="4">
        <f t="shared" ref="B17:I17" si="2">B4/$B$13</f>
        <v>0.70394379355541703</v>
      </c>
      <c r="C17" s="4">
        <f t="shared" si="2"/>
        <v>1.8878062208449384</v>
      </c>
      <c r="D17" s="4">
        <f t="shared" si="2"/>
        <v>1.2048707449295182</v>
      </c>
      <c r="E17" s="4">
        <f t="shared" si="2"/>
        <v>0.77956947088616757</v>
      </c>
      <c r="F17" s="4">
        <f t="shared" si="2"/>
        <v>1.1340374022033317</v>
      </c>
      <c r="G17" s="4">
        <f t="shared" si="2"/>
        <v>0.47100621000497955</v>
      </c>
      <c r="H17" s="4">
        <f t="shared" si="2"/>
        <v>0.33526950535410005</v>
      </c>
      <c r="I17" s="4">
        <f t="shared" si="2"/>
        <v>0.88114576291471047</v>
      </c>
      <c r="J17" s="4"/>
      <c r="K17" s="4"/>
      <c r="L17" s="4">
        <v>10890.39</v>
      </c>
    </row>
    <row r="18" spans="1:12" x14ac:dyDescent="0.25">
      <c r="B18" s="4">
        <f t="shared" ref="B18:I18" si="3">B5/$B$13</f>
        <v>0.68774978777606133</v>
      </c>
      <c r="C18" s="4">
        <f t="shared" si="3"/>
        <v>1.9303160516068962</v>
      </c>
      <c r="D18" s="4">
        <f t="shared" si="3"/>
        <v>1.2168935967834285</v>
      </c>
      <c r="E18" s="4">
        <f t="shared" si="3"/>
        <v>0.77638018319545821</v>
      </c>
      <c r="F18" s="4">
        <f>F5/$B$13</f>
        <v>1.1743262373217394</v>
      </c>
      <c r="G18" s="4">
        <f t="shared" si="3"/>
        <v>0.48617891976663752</v>
      </c>
      <c r="H18" s="4">
        <f t="shared" si="3"/>
        <v>0.34492657023030548</v>
      </c>
      <c r="I18" s="4">
        <f t="shared" si="3"/>
        <v>0.96480800568092706</v>
      </c>
      <c r="L18" s="4">
        <v>10639.86</v>
      </c>
    </row>
    <row r="19" spans="1:12" x14ac:dyDescent="0.25">
      <c r="B19" s="4">
        <f t="shared" ref="B19:I19" si="4">B6/$B$13</f>
        <v>0.70653840255227718</v>
      </c>
      <c r="C19" s="4">
        <f t="shared" si="4"/>
        <v>1.9633536849996498</v>
      </c>
      <c r="D19" s="4">
        <f t="shared" si="4"/>
        <v>1.2675705637375456</v>
      </c>
      <c r="E19" s="4">
        <f t="shared" si="4"/>
        <v>0.79513906403698154</v>
      </c>
      <c r="F19" s="4">
        <f t="shared" si="4"/>
        <v>1.2141600139613753</v>
      </c>
      <c r="G19" s="4">
        <f t="shared" si="4"/>
        <v>0.4840490650968185</v>
      </c>
      <c r="H19" s="4">
        <f t="shared" si="4"/>
        <v>0.36921143819543528</v>
      </c>
      <c r="I19" s="4">
        <f t="shared" si="4"/>
        <v>1.0126408571427212</v>
      </c>
      <c r="L19" s="4">
        <v>10930.53</v>
      </c>
    </row>
    <row r="20" spans="1:12" x14ac:dyDescent="0.25">
      <c r="B20" s="4">
        <f t="shared" ref="B20:I20" si="5">B7/$B$13</f>
        <v>0.72665405576161535</v>
      </c>
      <c r="C20" s="4">
        <f t="shared" si="5"/>
        <v>2.0173640845887464</v>
      </c>
      <c r="D20" s="4">
        <f t="shared" si="5"/>
        <v>1.3105942744577754</v>
      </c>
      <c r="E20" s="4">
        <f t="shared" si="5"/>
        <v>0.81851640060410646</v>
      </c>
      <c r="F20" s="4">
        <f t="shared" si="5"/>
        <v>1.2481568899429034</v>
      </c>
      <c r="G20" s="4">
        <f t="shared" si="5"/>
        <v>0.47186009104256105</v>
      </c>
      <c r="H20" s="4">
        <f t="shared" si="5"/>
        <v>0.37409814572315375</v>
      </c>
      <c r="I20" s="4">
        <f t="shared" si="5"/>
        <v>1.0537577177033257</v>
      </c>
      <c r="L20" s="4">
        <v>11241.73</v>
      </c>
    </row>
    <row r="21" spans="1:12" x14ac:dyDescent="0.25">
      <c r="B21" s="4">
        <f t="shared" ref="B21:I21" si="6">B8/$B$13</f>
        <v>0.73571127082489463</v>
      </c>
      <c r="C21" s="4">
        <f t="shared" si="6"/>
        <v>2.0427271308814205</v>
      </c>
      <c r="D21" s="4">
        <f t="shared" si="6"/>
        <v>1.3593585737433054</v>
      </c>
      <c r="E21" s="4">
        <f t="shared" si="6"/>
        <v>0.84151624547861403</v>
      </c>
      <c r="F21" s="4">
        <f t="shared" si="6"/>
        <v>1.2774887701271369</v>
      </c>
      <c r="G21" s="4">
        <f t="shared" si="6"/>
        <v>0.4850270529922468</v>
      </c>
      <c r="H21" s="4">
        <f t="shared" si="6"/>
        <v>0.43942877136157993</v>
      </c>
      <c r="I21" s="4">
        <f t="shared" si="6"/>
        <v>1.123832845094854</v>
      </c>
      <c r="L21" s="4">
        <v>11381.85</v>
      </c>
    </row>
    <row r="22" spans="1:12" x14ac:dyDescent="0.25">
      <c r="B22" s="4">
        <f t="shared" ref="B22:I22" si="7">B9/$B$13</f>
        <v>0.74035752131553478</v>
      </c>
      <c r="C22" s="4">
        <f t="shared" si="7"/>
        <v>2.0448673277893934</v>
      </c>
      <c r="D22" s="4">
        <f t="shared" si="7"/>
        <v>1.401021633756413</v>
      </c>
      <c r="E22" s="4">
        <f t="shared" si="7"/>
        <v>0.85935660629409405</v>
      </c>
      <c r="F22" s="4">
        <f t="shared" si="7"/>
        <v>1.4911225661633176</v>
      </c>
      <c r="G22" s="4">
        <f t="shared" si="7"/>
        <v>0.50564107280262616</v>
      </c>
      <c r="H22" s="4">
        <f t="shared" si="7"/>
        <v>0.486744510915679</v>
      </c>
      <c r="I22" s="4">
        <f t="shared" si="7"/>
        <v>1.1437222618445759</v>
      </c>
      <c r="L22" s="4">
        <v>11453.73</v>
      </c>
    </row>
    <row r="23" spans="1:12" x14ac:dyDescent="0.25">
      <c r="B23" s="4">
        <f t="shared" ref="B23:I23" si="8">B10/$B$13</f>
        <v>0.75604734298488785</v>
      </c>
      <c r="C23" s="4">
        <f t="shared" si="8"/>
        <v>2.1024457995415857</v>
      </c>
      <c r="D23" s="4">
        <f t="shared" si="8"/>
        <v>1.4474608686269688</v>
      </c>
      <c r="E23" s="4">
        <f t="shared" si="8"/>
        <v>0.89652531743944663</v>
      </c>
      <c r="F23" s="4">
        <f t="shared" si="8"/>
        <v>1.6383120067898738</v>
      </c>
      <c r="G23" s="4">
        <f t="shared" si="8"/>
        <v>0.50534890457477855</v>
      </c>
      <c r="H23" s="4">
        <f t="shared" si="8"/>
        <v>0.52788722707166824</v>
      </c>
      <c r="I23" s="4">
        <f t="shared" si="8"/>
        <v>1.195161968862543</v>
      </c>
      <c r="L23" s="4">
        <v>11696.46</v>
      </c>
    </row>
    <row r="24" spans="1:12" x14ac:dyDescent="0.25">
      <c r="B24" s="4">
        <f t="shared" ref="B24:I24" si="9">B11/$B$13</f>
        <v>0.7174662699416432</v>
      </c>
      <c r="C24" s="4">
        <f t="shared" si="9"/>
        <v>2.1119167041310209</v>
      </c>
      <c r="D24" s="4">
        <f t="shared" si="9"/>
        <v>1.59399745547006</v>
      </c>
      <c r="E24" s="4">
        <f t="shared" si="9"/>
        <v>0.95005738851392507</v>
      </c>
      <c r="F24" s="4">
        <f t="shared" si="9"/>
        <v>1.7538916892787995</v>
      </c>
      <c r="G24" s="4">
        <f t="shared" si="9"/>
        <v>0.52388025617691603</v>
      </c>
      <c r="H24" s="4">
        <f t="shared" si="9"/>
        <v>0.5547188711821962</v>
      </c>
      <c r="I24" s="4">
        <f t="shared" si="9"/>
        <v>1.2269643511857899</v>
      </c>
      <c r="L24" s="4">
        <v>11099.59</v>
      </c>
    </row>
    <row r="25" spans="1:12" x14ac:dyDescent="0.25">
      <c r="L25" s="4">
        <v>27588.97</v>
      </c>
    </row>
    <row r="26" spans="1:12" x14ac:dyDescent="0.25">
      <c r="L26" s="4">
        <v>28849.84</v>
      </c>
    </row>
    <row r="27" spans="1:12" x14ac:dyDescent="0.25">
      <c r="L27" s="4">
        <v>29205.38</v>
      </c>
    </row>
    <row r="28" spans="1:12" x14ac:dyDescent="0.25">
      <c r="L28" s="4">
        <v>29863.03</v>
      </c>
    </row>
    <row r="29" spans="1:12" x14ac:dyDescent="0.25">
      <c r="L29" s="4">
        <v>30374.14</v>
      </c>
    </row>
    <row r="30" spans="1:12" x14ac:dyDescent="0.25">
      <c r="L30" s="4">
        <v>31209.71</v>
      </c>
    </row>
    <row r="31" spans="1:12" x14ac:dyDescent="0.25">
      <c r="L31" s="4">
        <v>31602.09</v>
      </c>
    </row>
    <row r="32" spans="1:12" x14ac:dyDescent="0.25">
      <c r="L32" s="4">
        <v>31635.200000000001</v>
      </c>
    </row>
    <row r="33" spans="12:12" x14ac:dyDescent="0.25">
      <c r="L33" s="4">
        <v>32525.97</v>
      </c>
    </row>
    <row r="34" spans="12:12" x14ac:dyDescent="0.25">
      <c r="L34" s="4">
        <v>32672.49</v>
      </c>
    </row>
    <row r="35" spans="12:12" x14ac:dyDescent="0.25">
      <c r="L35" s="4">
        <v>17827.27</v>
      </c>
    </row>
    <row r="36" spans="12:12" x14ac:dyDescent="0.25">
      <c r="L36" s="4">
        <v>18076.18</v>
      </c>
    </row>
    <row r="37" spans="12:12" x14ac:dyDescent="0.25">
      <c r="L37" s="4">
        <v>18640</v>
      </c>
    </row>
    <row r="38" spans="12:12" x14ac:dyDescent="0.25">
      <c r="L38" s="4">
        <v>18826</v>
      </c>
    </row>
    <row r="39" spans="12:12" x14ac:dyDescent="0.25">
      <c r="L39" s="4">
        <v>19610</v>
      </c>
    </row>
    <row r="40" spans="12:12" x14ac:dyDescent="0.25">
      <c r="L40" s="4">
        <v>20275.599999999999</v>
      </c>
    </row>
    <row r="41" spans="12:12" x14ac:dyDescent="0.25">
      <c r="L41" s="4">
        <v>21030.01</v>
      </c>
    </row>
    <row r="42" spans="12:12" x14ac:dyDescent="0.25">
      <c r="L42" s="4">
        <v>21674.560000000001</v>
      </c>
    </row>
    <row r="43" spans="12:12" x14ac:dyDescent="0.25">
      <c r="L43" s="4">
        <v>22393</v>
      </c>
    </row>
    <row r="44" spans="12:12" x14ac:dyDescent="0.25">
      <c r="L44" s="4">
        <v>24660</v>
      </c>
    </row>
    <row r="45" spans="12:12" x14ac:dyDescent="0.25">
      <c r="L45" s="4">
        <v>10570.23</v>
      </c>
    </row>
    <row r="46" spans="12:12" x14ac:dyDescent="0.25">
      <c r="L46" s="4">
        <v>11357.95</v>
      </c>
    </row>
    <row r="47" spans="12:12" x14ac:dyDescent="0.25">
      <c r="L47" s="4">
        <v>12060.36</v>
      </c>
    </row>
    <row r="48" spans="12:12" x14ac:dyDescent="0.25">
      <c r="L48" s="4">
        <v>12011.02</v>
      </c>
    </row>
    <row r="49" spans="12:12" x14ac:dyDescent="0.25">
      <c r="L49" s="4">
        <v>12301.23</v>
      </c>
    </row>
    <row r="50" spans="12:12" x14ac:dyDescent="0.25">
      <c r="L50" s="4">
        <v>12662.89</v>
      </c>
    </row>
    <row r="51" spans="12:12" x14ac:dyDescent="0.25">
      <c r="L51" s="4">
        <v>13018.71</v>
      </c>
    </row>
    <row r="52" spans="12:12" x14ac:dyDescent="0.25">
      <c r="L52" s="4">
        <v>13294.71</v>
      </c>
    </row>
    <row r="53" spans="12:12" x14ac:dyDescent="0.25">
      <c r="L53" s="4">
        <v>13869.73</v>
      </c>
    </row>
    <row r="54" spans="12:12" x14ac:dyDescent="0.25">
      <c r="L54" s="4">
        <v>14697.9</v>
      </c>
    </row>
    <row r="55" spans="12:12" x14ac:dyDescent="0.25">
      <c r="L55" s="4">
        <v>16140.03</v>
      </c>
    </row>
    <row r="56" spans="12:12" x14ac:dyDescent="0.25">
      <c r="L56" s="4">
        <v>16912.919999999998</v>
      </c>
    </row>
    <row r="57" spans="12:12" x14ac:dyDescent="0.25">
      <c r="L57" s="4">
        <v>17544.169999999998</v>
      </c>
    </row>
    <row r="58" spans="12:12" x14ac:dyDescent="0.25">
      <c r="L58" s="4">
        <v>18167.46</v>
      </c>
    </row>
    <row r="59" spans="12:12" x14ac:dyDescent="0.25">
      <c r="L59" s="4">
        <v>18783.71</v>
      </c>
    </row>
    <row r="60" spans="12:12" x14ac:dyDescent="0.25">
      <c r="L60" s="4">
        <v>19309.66</v>
      </c>
    </row>
    <row r="61" spans="12:12" x14ac:dyDescent="0.25">
      <c r="L61" s="4">
        <v>19763.439999999999</v>
      </c>
    </row>
    <row r="62" spans="12:12" x14ac:dyDescent="0.25">
      <c r="L62" s="4">
        <v>23068.47</v>
      </c>
    </row>
    <row r="63" spans="12:12" x14ac:dyDescent="0.25">
      <c r="L63" s="4">
        <v>25345.57</v>
      </c>
    </row>
    <row r="64" spans="12:12" x14ac:dyDescent="0.25">
      <c r="L64" s="4">
        <v>27133.65</v>
      </c>
    </row>
    <row r="65" spans="12:12" x14ac:dyDescent="0.25">
      <c r="L65" s="4">
        <v>6393.69</v>
      </c>
    </row>
    <row r="66" spans="12:12" x14ac:dyDescent="0.25">
      <c r="L66" s="4">
        <v>6893.76</v>
      </c>
    </row>
    <row r="67" spans="12:12" x14ac:dyDescent="0.25">
      <c r="L67" s="4">
        <v>7286.72</v>
      </c>
    </row>
    <row r="68" spans="12:12" x14ac:dyDescent="0.25">
      <c r="L68" s="4">
        <v>7521.45</v>
      </c>
    </row>
    <row r="69" spans="12:12" x14ac:dyDescent="0.25">
      <c r="L69" s="4">
        <v>7488.5</v>
      </c>
    </row>
    <row r="70" spans="12:12" x14ac:dyDescent="0.25">
      <c r="L70" s="4">
        <v>7299.93</v>
      </c>
    </row>
    <row r="71" spans="12:12" x14ac:dyDescent="0.25">
      <c r="L71" s="4">
        <v>7503.63</v>
      </c>
    </row>
    <row r="72" spans="12:12" x14ac:dyDescent="0.25">
      <c r="L72" s="4">
        <v>7822.54</v>
      </c>
    </row>
    <row r="73" spans="12:12" x14ac:dyDescent="0.25">
      <c r="L73" s="4">
        <v>7818.02</v>
      </c>
    </row>
    <row r="74" spans="12:12" x14ac:dyDescent="0.25">
      <c r="L74" s="4">
        <v>8104.71</v>
      </c>
    </row>
    <row r="75" spans="12:12" x14ac:dyDescent="0.25">
      <c r="L75" s="4">
        <v>4719.8999999999996</v>
      </c>
    </row>
    <row r="76" spans="12:12" x14ac:dyDescent="0.25">
      <c r="L76" s="4">
        <v>4895.2</v>
      </c>
    </row>
    <row r="77" spans="12:12" x14ac:dyDescent="0.25">
      <c r="L77" s="4">
        <v>5186.8</v>
      </c>
    </row>
    <row r="78" spans="12:12" x14ac:dyDescent="0.25">
      <c r="L78" s="4">
        <v>5336.2</v>
      </c>
    </row>
    <row r="79" spans="12:12" x14ac:dyDescent="0.25">
      <c r="L79" s="4">
        <v>5711.9</v>
      </c>
    </row>
    <row r="80" spans="12:12" x14ac:dyDescent="0.25">
      <c r="L80" s="4">
        <v>5787.5</v>
      </c>
    </row>
    <row r="81" spans="12:12" x14ac:dyDescent="0.25">
      <c r="L81" s="4">
        <v>6798.2</v>
      </c>
    </row>
    <row r="82" spans="12:12" x14ac:dyDescent="0.25">
      <c r="L82" s="4">
        <v>7530.2</v>
      </c>
    </row>
    <row r="83" spans="12:12" x14ac:dyDescent="0.25">
      <c r="L83" s="4">
        <v>8166.7</v>
      </c>
    </row>
    <row r="84" spans="12:12" x14ac:dyDescent="0.25">
      <c r="L84" s="4">
        <v>8581.7999999999993</v>
      </c>
    </row>
    <row r="85" spans="12:12" x14ac:dyDescent="0.25">
      <c r="L85" s="4">
        <v>9474.5</v>
      </c>
    </row>
    <row r="86" spans="12:12" x14ac:dyDescent="0.25">
      <c r="L86" s="4">
        <v>11293.7</v>
      </c>
    </row>
    <row r="87" spans="12:12" x14ac:dyDescent="0.25">
      <c r="L87" s="4">
        <v>13631.8</v>
      </c>
    </row>
    <row r="88" spans="12:12" x14ac:dyDescent="0.25">
      <c r="L88" s="4">
        <v>14926.1</v>
      </c>
    </row>
    <row r="89" spans="12:12" x14ac:dyDescent="0.25">
      <c r="L89" s="4">
        <v>15666.1</v>
      </c>
    </row>
    <row r="90" spans="12:12" x14ac:dyDescent="0.25">
      <c r="L90" s="4">
        <v>16302.2</v>
      </c>
    </row>
    <row r="91" spans="12:12" x14ac:dyDescent="0.25">
      <c r="L91" s="4">
        <v>17386.3</v>
      </c>
    </row>
    <row r="92" spans="12:12" x14ac:dyDescent="0.25">
      <c r="L92" s="4">
        <v>17694</v>
      </c>
    </row>
    <row r="93" spans="12:12" x14ac:dyDescent="0.25">
      <c r="L93" s="4">
        <v>18489.8</v>
      </c>
    </row>
    <row r="94" spans="12:12" x14ac:dyDescent="0.25">
      <c r="L94" s="4">
        <v>18981.8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F87C-CD3F-4D1D-A30B-E5A10A76C042}">
  <dimension ref="A1:K94"/>
  <sheetViews>
    <sheetView workbookViewId="0">
      <selection activeCell="B14" sqref="B14"/>
    </sheetView>
  </sheetViews>
  <sheetFormatPr defaultColWidth="8.77734375" defaultRowHeight="13.8" x14ac:dyDescent="0.25"/>
  <cols>
    <col min="1" max="1" width="9" style="4" bestFit="1" customWidth="1"/>
    <col min="2" max="2" width="9.44140625" style="4" bestFit="1" customWidth="1"/>
    <col min="3" max="5" width="9" style="4" bestFit="1" customWidth="1"/>
    <col min="6" max="6" width="12.33203125" style="4" customWidth="1"/>
    <col min="7" max="9" width="9" style="4" bestFit="1" customWidth="1"/>
    <col min="10" max="16384" width="8.77734375" style="4"/>
  </cols>
  <sheetData>
    <row r="1" spans="1:11" x14ac:dyDescent="0.25"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5" t="s">
        <v>121</v>
      </c>
    </row>
    <row r="2" spans="1:11" ht="15.6" x14ac:dyDescent="0.25">
      <c r="A2" s="1">
        <v>40908</v>
      </c>
      <c r="B2" s="10">
        <v>170.60296411333337</v>
      </c>
      <c r="C2" s="10">
        <v>613.10788851999996</v>
      </c>
      <c r="D2" s="10">
        <v>398.62266099999999</v>
      </c>
      <c r="E2" s="10">
        <v>315.38719418666665</v>
      </c>
      <c r="F2" s="10">
        <v>740.51600992666636</v>
      </c>
      <c r="G2" s="10">
        <v>169.69415469999996</v>
      </c>
      <c r="H2" s="10">
        <v>190.94822575333333</v>
      </c>
      <c r="I2" s="10">
        <v>286.31109839333334</v>
      </c>
    </row>
    <row r="3" spans="1:11" ht="15.6" x14ac:dyDescent="0.25">
      <c r="A3" s="1">
        <v>41274</v>
      </c>
      <c r="B3" s="10">
        <v>168.52072117199998</v>
      </c>
      <c r="C3" s="10">
        <v>619.98858501333336</v>
      </c>
      <c r="D3" s="10">
        <v>383.59345537800004</v>
      </c>
      <c r="E3" s="10">
        <v>355.90699673333341</v>
      </c>
      <c r="F3" s="10">
        <v>788.69167383633328</v>
      </c>
      <c r="G3" s="10">
        <v>173.75377908666667</v>
      </c>
      <c r="H3" s="10">
        <v>188.56961744127909</v>
      </c>
      <c r="I3" s="10">
        <v>333.44079964666662</v>
      </c>
    </row>
    <row r="4" spans="1:11" ht="15.6" x14ac:dyDescent="0.25">
      <c r="A4" s="1">
        <v>41639</v>
      </c>
      <c r="B4" s="10">
        <v>181.78292098000003</v>
      </c>
      <c r="C4" s="10">
        <v>638.44095200000004</v>
      </c>
      <c r="D4" s="10">
        <v>387.56092082666663</v>
      </c>
      <c r="E4" s="10">
        <v>387.18004041333324</v>
      </c>
      <c r="F4" s="10">
        <v>783.74308548666647</v>
      </c>
      <c r="G4" s="10">
        <v>181.46648981333334</v>
      </c>
      <c r="H4" s="10">
        <v>187.75607406666663</v>
      </c>
      <c r="I4" s="10">
        <v>336.33677155333339</v>
      </c>
    </row>
    <row r="5" spans="1:11" ht="15.6" x14ac:dyDescent="0.25">
      <c r="A5" s="1">
        <v>42004</v>
      </c>
      <c r="B5" s="10">
        <v>156.54657271800002</v>
      </c>
      <c r="C5" s="10">
        <v>621.07117427333333</v>
      </c>
      <c r="D5" s="10">
        <v>380.79470165488334</v>
      </c>
      <c r="E5" s="10">
        <v>401.79524150701002</v>
      </c>
      <c r="F5" s="10">
        <v>806.00009000000023</v>
      </c>
      <c r="G5" s="10">
        <v>180.46855229333335</v>
      </c>
      <c r="H5" s="10">
        <v>195.21582880721337</v>
      </c>
      <c r="I5" s="10">
        <v>366.25966504666678</v>
      </c>
    </row>
    <row r="6" spans="1:11" ht="15.6" x14ac:dyDescent="0.25">
      <c r="A6" s="1">
        <v>42369</v>
      </c>
      <c r="B6" s="10">
        <v>161.64688139999996</v>
      </c>
      <c r="C6" s="10">
        <v>634.16123835999997</v>
      </c>
      <c r="D6" s="10">
        <v>381.50131998000006</v>
      </c>
      <c r="E6" s="10">
        <v>392.8482954266666</v>
      </c>
      <c r="F6" s="10">
        <v>753.79994189333365</v>
      </c>
      <c r="G6" s="10">
        <v>176.57530076666666</v>
      </c>
      <c r="H6" s="10">
        <v>193.37849047333333</v>
      </c>
      <c r="I6" s="10">
        <v>379.09180007333327</v>
      </c>
    </row>
    <row r="7" spans="1:11" ht="15.6" x14ac:dyDescent="0.25">
      <c r="A7" s="1">
        <v>42735</v>
      </c>
      <c r="B7" s="10">
        <v>158.22522638666669</v>
      </c>
      <c r="C7" s="10">
        <v>653.11684464666666</v>
      </c>
      <c r="D7" s="10">
        <v>379.17653735279634</v>
      </c>
      <c r="E7" s="10">
        <v>380.1773146818087</v>
      </c>
      <c r="F7" s="10">
        <v>754.615166564893</v>
      </c>
      <c r="G7" s="10">
        <v>169.71652950000004</v>
      </c>
      <c r="H7" s="10">
        <v>189.71723426876332</v>
      </c>
      <c r="I7" s="10">
        <v>410.85326431333328</v>
      </c>
    </row>
    <row r="8" spans="1:11" ht="15.6" x14ac:dyDescent="0.25">
      <c r="A8" s="1">
        <v>43100</v>
      </c>
      <c r="B8" s="10">
        <v>156.57804983333335</v>
      </c>
      <c r="C8" s="10">
        <v>645.04872020000005</v>
      </c>
      <c r="D8" s="10">
        <v>401.44067626407002</v>
      </c>
      <c r="E8" s="10">
        <v>397.01638282836916</v>
      </c>
      <c r="F8" s="10">
        <v>765.07294311333328</v>
      </c>
      <c r="G8" s="10">
        <v>173.98676512849633</v>
      </c>
      <c r="H8" s="10">
        <v>226.23797925305001</v>
      </c>
      <c r="I8" s="10">
        <v>452.26483730000001</v>
      </c>
    </row>
    <row r="9" spans="1:11" ht="15.6" x14ac:dyDescent="0.25">
      <c r="A9" s="1">
        <v>43465</v>
      </c>
      <c r="B9" s="10">
        <v>151.47447972000001</v>
      </c>
      <c r="C9" s="10">
        <v>644.96546772666659</v>
      </c>
      <c r="D9" s="10">
        <v>401.65882535999998</v>
      </c>
      <c r="E9" s="10">
        <v>392.42850410666665</v>
      </c>
      <c r="F9" s="10">
        <v>857.57321491333323</v>
      </c>
      <c r="G9" s="10">
        <v>182.49648573333334</v>
      </c>
      <c r="H9" s="10">
        <v>235.93472809333332</v>
      </c>
      <c r="I9" s="10">
        <v>480.94605451333331</v>
      </c>
    </row>
    <row r="10" spans="1:11" ht="15.6" x14ac:dyDescent="0.25">
      <c r="A10" s="1">
        <v>43830</v>
      </c>
      <c r="B10" s="10">
        <v>159.49730360666669</v>
      </c>
      <c r="C10" s="10">
        <v>636.5820485866667</v>
      </c>
      <c r="D10" s="10">
        <v>419.14662583999996</v>
      </c>
      <c r="E10" s="10">
        <v>398.96247093333324</v>
      </c>
      <c r="F10" s="10">
        <v>972.78727885999967</v>
      </c>
      <c r="G10" s="10">
        <v>185.44137674666666</v>
      </c>
      <c r="H10" s="10">
        <v>251.89874125555556</v>
      </c>
      <c r="I10" s="10">
        <v>519.30516572666659</v>
      </c>
    </row>
    <row r="11" spans="1:11" ht="15.6" x14ac:dyDescent="0.25">
      <c r="A11" s="1">
        <v>44196</v>
      </c>
      <c r="B11" s="10">
        <v>154.62688177333334</v>
      </c>
      <c r="C11" s="10">
        <v>628.06252813333333</v>
      </c>
      <c r="D11" s="10">
        <v>454.55451226666668</v>
      </c>
      <c r="E11" s="10">
        <v>397.17086993333334</v>
      </c>
      <c r="F11" s="10">
        <v>1046.6621954466668</v>
      </c>
      <c r="G11" s="10">
        <v>195.98652623333334</v>
      </c>
      <c r="H11" s="10">
        <v>259.51291147777778</v>
      </c>
      <c r="I11" s="10">
        <v>555.46734670000001</v>
      </c>
    </row>
    <row r="13" spans="1:11" x14ac:dyDescent="0.25">
      <c r="B13" s="4">
        <f>AVERAGE(B2:I11)</f>
        <v>400.74331487546198</v>
      </c>
    </row>
    <row r="14" spans="1:11" x14ac:dyDescent="0.25">
      <c r="B14" t="s">
        <v>122</v>
      </c>
    </row>
    <row r="15" spans="1:11" ht="15.6" x14ac:dyDescent="0.25">
      <c r="B15" s="11">
        <f>B2/$B$13</f>
        <v>0.42571630712380376</v>
      </c>
      <c r="C15" s="4">
        <f t="shared" ref="C15:I15" si="0">C2/$B$13</f>
        <v>1.5299266781544041</v>
      </c>
      <c r="D15" s="4">
        <f t="shared" si="0"/>
        <v>0.99470819899735319</v>
      </c>
      <c r="E15" s="4">
        <f t="shared" si="0"/>
        <v>0.78700550322262708</v>
      </c>
      <c r="F15" s="4">
        <f t="shared" si="0"/>
        <v>1.8478561773558086</v>
      </c>
      <c r="G15" s="4">
        <f t="shared" si="0"/>
        <v>0.42344849783142458</v>
      </c>
      <c r="H15" s="4">
        <f t="shared" si="0"/>
        <v>0.47648511819261125</v>
      </c>
      <c r="I15" s="4">
        <f t="shared" si="0"/>
        <v>0.71445009252945257</v>
      </c>
      <c r="K15" s="10">
        <v>170.60296411333337</v>
      </c>
    </row>
    <row r="16" spans="1:11" ht="15.6" x14ac:dyDescent="0.25">
      <c r="B16" s="4">
        <f t="shared" ref="B16:I16" si="1">B3/$B$13</f>
        <v>0.42052035534110094</v>
      </c>
      <c r="C16" s="4">
        <f t="shared" si="1"/>
        <v>1.5470965129037915</v>
      </c>
      <c r="D16" s="4">
        <f t="shared" si="1"/>
        <v>0.95720487688536604</v>
      </c>
      <c r="E16" s="4">
        <f t="shared" si="1"/>
        <v>0.88811711517617642</v>
      </c>
      <c r="F16" s="4">
        <f t="shared" si="1"/>
        <v>1.9680719417151926</v>
      </c>
      <c r="G16" s="4">
        <f t="shared" si="1"/>
        <v>0.43357873391016816</v>
      </c>
      <c r="H16" s="4">
        <f t="shared" si="1"/>
        <v>0.47054962725923555</v>
      </c>
      <c r="I16" s="4">
        <f t="shared" si="1"/>
        <v>0.83205580048238414</v>
      </c>
      <c r="K16" s="10">
        <v>168.52072117199998</v>
      </c>
    </row>
    <row r="17" spans="2:11" ht="15.6" x14ac:dyDescent="0.25">
      <c r="B17" s="4">
        <f t="shared" ref="B17:I17" si="2">B4/$B$13</f>
        <v>0.45361435670235012</v>
      </c>
      <c r="C17" s="4">
        <f t="shared" si="2"/>
        <v>1.5931418648827786</v>
      </c>
      <c r="D17" s="4">
        <f t="shared" si="2"/>
        <v>0.9671051429694042</v>
      </c>
      <c r="E17" s="4">
        <f t="shared" si="2"/>
        <v>0.96615470811698068</v>
      </c>
      <c r="F17" s="4">
        <f t="shared" si="2"/>
        <v>1.9557234179445473</v>
      </c>
      <c r="G17" s="4">
        <f t="shared" si="2"/>
        <v>0.4528247461089332</v>
      </c>
      <c r="H17" s="4">
        <f t="shared" si="2"/>
        <v>0.46851954130542423</v>
      </c>
      <c r="I17" s="4">
        <f t="shared" si="2"/>
        <v>0.83928230133509762</v>
      </c>
      <c r="K17" s="10">
        <v>181.78292098000003</v>
      </c>
    </row>
    <row r="18" spans="2:11" ht="15.6" x14ac:dyDescent="0.25">
      <c r="B18" s="4">
        <f t="shared" ref="B18:I18" si="3">B5/$B$13</f>
        <v>0.39064050954075086</v>
      </c>
      <c r="C18" s="4">
        <f t="shared" si="3"/>
        <v>1.5497979659781527</v>
      </c>
      <c r="D18" s="4">
        <f t="shared" si="3"/>
        <v>0.95022097068100053</v>
      </c>
      <c r="E18" s="4">
        <f t="shared" si="3"/>
        <v>1.0026249386889334</v>
      </c>
      <c r="F18" s="4">
        <f t="shared" si="3"/>
        <v>2.0112627212520784</v>
      </c>
      <c r="G18" s="4">
        <f>G5/$B$13</f>
        <v>0.45033452984591177</v>
      </c>
      <c r="H18" s="4">
        <f t="shared" si="3"/>
        <v>0.48713433652132193</v>
      </c>
      <c r="I18" s="4">
        <f t="shared" si="3"/>
        <v>0.91395077959189019</v>
      </c>
      <c r="K18" s="10">
        <v>156.54657271800002</v>
      </c>
    </row>
    <row r="19" spans="2:11" ht="15.6" x14ac:dyDescent="0.25">
      <c r="B19" s="4">
        <f t="shared" ref="B19:I19" si="4">B6/$B$13</f>
        <v>0.40336763059973829</v>
      </c>
      <c r="C19" s="4">
        <f t="shared" si="4"/>
        <v>1.5824624262467777</v>
      </c>
      <c r="D19" s="4">
        <f t="shared" si="4"/>
        <v>0.95198423983331648</v>
      </c>
      <c r="E19" s="11">
        <f>E6/$B$13</f>
        <v>0.9802990613798539</v>
      </c>
      <c r="F19" s="4">
        <f t="shared" si="4"/>
        <v>1.8810044083395134</v>
      </c>
      <c r="G19" s="4">
        <f t="shared" si="4"/>
        <v>0.44061945442942829</v>
      </c>
      <c r="H19" s="4">
        <f t="shared" si="4"/>
        <v>0.48254951060987528</v>
      </c>
      <c r="I19" s="4">
        <f t="shared" si="4"/>
        <v>0.9459716132535928</v>
      </c>
      <c r="K19" s="10">
        <v>161.64688139999996</v>
      </c>
    </row>
    <row r="20" spans="2:11" ht="15.6" x14ac:dyDescent="0.25">
      <c r="B20" s="4">
        <f t="shared" ref="B20:I20" si="5">B7/$B$13</f>
        <v>0.39482935962596893</v>
      </c>
      <c r="C20" s="4">
        <f t="shared" si="5"/>
        <v>1.6297635429043507</v>
      </c>
      <c r="D20" s="4">
        <f t="shared" si="5"/>
        <v>0.94618306351693504</v>
      </c>
      <c r="E20" s="4">
        <f t="shared" si="5"/>
        <v>0.94868036613400641</v>
      </c>
      <c r="F20" s="4">
        <f t="shared" si="5"/>
        <v>1.8830386897393483</v>
      </c>
      <c r="G20" s="4">
        <f t="shared" si="5"/>
        <v>0.42350433107721941</v>
      </c>
      <c r="H20" s="4">
        <f t="shared" si="5"/>
        <v>0.47341334771291516</v>
      </c>
      <c r="I20" s="4">
        <f t="shared" si="5"/>
        <v>1.025227992738976</v>
      </c>
      <c r="K20" s="10">
        <v>158.22522638666669</v>
      </c>
    </row>
    <row r="21" spans="2:11" ht="15.6" x14ac:dyDescent="0.25">
      <c r="B21" s="4">
        <f t="shared" ref="B21:I21" si="6">B8/$B$13</f>
        <v>0.3907190563665241</v>
      </c>
      <c r="C21" s="4">
        <f t="shared" si="6"/>
        <v>1.6096306444948689</v>
      </c>
      <c r="D21" s="4">
        <f t="shared" si="6"/>
        <v>1.0017401697363928</v>
      </c>
      <c r="E21" s="4">
        <f t="shared" si="6"/>
        <v>0.9906999520422417</v>
      </c>
      <c r="F21" s="4">
        <f t="shared" si="6"/>
        <v>1.9091346373453371</v>
      </c>
      <c r="G21" s="4">
        <f t="shared" si="6"/>
        <v>0.43416011863495657</v>
      </c>
      <c r="H21" s="4">
        <f t="shared" si="6"/>
        <v>0.56454585979396177</v>
      </c>
      <c r="I21" s="4">
        <f t="shared" si="6"/>
        <v>1.1285648955630097</v>
      </c>
      <c r="K21" s="10">
        <v>156.57804983333335</v>
      </c>
    </row>
    <row r="22" spans="2:11" ht="15.6" x14ac:dyDescent="0.25">
      <c r="B22" s="4">
        <f t="shared" ref="B22:I22" si="7">B9/$B$13</f>
        <v>0.37798379685278932</v>
      </c>
      <c r="C22" s="4">
        <f t="shared" si="7"/>
        <v>1.6094228993616548</v>
      </c>
      <c r="D22" s="4">
        <f t="shared" si="7"/>
        <v>1.0022845308968473</v>
      </c>
      <c r="E22" s="4">
        <f t="shared" si="7"/>
        <v>0.97925152969456442</v>
      </c>
      <c r="F22" s="4">
        <f t="shared" si="7"/>
        <v>2.139956383751128</v>
      </c>
      <c r="G22" s="4">
        <f t="shared" si="7"/>
        <v>0.45539495971391897</v>
      </c>
      <c r="H22" s="4">
        <f t="shared" si="7"/>
        <v>0.58874276709183326</v>
      </c>
      <c r="I22" s="4">
        <f t="shared" si="7"/>
        <v>1.2001349408980053</v>
      </c>
      <c r="K22" s="10">
        <v>151.47447972000001</v>
      </c>
    </row>
    <row r="23" spans="2:11" ht="15.6" x14ac:dyDescent="0.25">
      <c r="B23" s="4">
        <f t="shared" ref="B23:I23" si="8">B10/$B$13</f>
        <v>0.39800365392553905</v>
      </c>
      <c r="C23" s="4">
        <f t="shared" si="8"/>
        <v>1.5885032262721481</v>
      </c>
      <c r="D23" s="4">
        <f t="shared" si="8"/>
        <v>1.04592293940139</v>
      </c>
      <c r="E23" s="4">
        <f t="shared" si="8"/>
        <v>0.9955561480977364</v>
      </c>
      <c r="F23" s="4">
        <f t="shared" si="8"/>
        <v>2.4274572843774336</v>
      </c>
      <c r="G23" s="4">
        <f t="shared" si="8"/>
        <v>0.46274353149046499</v>
      </c>
      <c r="H23" s="4">
        <f t="shared" si="8"/>
        <v>0.62857877325748412</v>
      </c>
      <c r="I23" s="4">
        <f t="shared" si="8"/>
        <v>1.2958548438619613</v>
      </c>
      <c r="K23" s="10">
        <v>159.49730360666669</v>
      </c>
    </row>
    <row r="24" spans="2:11" ht="15.6" x14ac:dyDescent="0.25">
      <c r="B24" s="4">
        <f t="shared" ref="B24:I24" si="9">B11/$B$13</f>
        <v>0.38585018397970372</v>
      </c>
      <c r="C24" s="4">
        <f t="shared" si="9"/>
        <v>1.5672439310148312</v>
      </c>
      <c r="D24" s="4">
        <f t="shared" si="9"/>
        <v>1.1342784655258129</v>
      </c>
      <c r="E24" s="4">
        <f t="shared" si="9"/>
        <v>0.99108545343235777</v>
      </c>
      <c r="F24" s="4">
        <f t="shared" si="9"/>
        <v>2.6118020104014348</v>
      </c>
      <c r="G24" s="4">
        <f t="shared" si="9"/>
        <v>0.48905750628488859</v>
      </c>
      <c r="H24" s="4">
        <f t="shared" si="9"/>
        <v>0.64757889113740041</v>
      </c>
      <c r="I24" s="4">
        <f t="shared" si="9"/>
        <v>1.3860926086131249</v>
      </c>
      <c r="K24" s="10">
        <v>154.62688177333334</v>
      </c>
    </row>
    <row r="25" spans="2:11" ht="15.6" x14ac:dyDescent="0.25">
      <c r="K25" s="10">
        <v>613.10788851999996</v>
      </c>
    </row>
    <row r="26" spans="2:11" ht="15.6" x14ac:dyDescent="0.25">
      <c r="K26" s="10">
        <v>619.98858501333336</v>
      </c>
    </row>
    <row r="27" spans="2:11" ht="15.6" x14ac:dyDescent="0.25">
      <c r="K27" s="10">
        <v>638.44095200000004</v>
      </c>
    </row>
    <row r="28" spans="2:11" ht="15.6" x14ac:dyDescent="0.25">
      <c r="K28" s="10">
        <v>621.07117427333333</v>
      </c>
    </row>
    <row r="29" spans="2:11" ht="15.6" x14ac:dyDescent="0.25">
      <c r="K29" s="10">
        <v>634.16123835999997</v>
      </c>
    </row>
    <row r="30" spans="2:11" ht="15.6" x14ac:dyDescent="0.25">
      <c r="K30" s="10">
        <v>653.11684464666666</v>
      </c>
    </row>
    <row r="31" spans="2:11" ht="15.6" x14ac:dyDescent="0.25">
      <c r="K31" s="10">
        <v>645.04872020000005</v>
      </c>
    </row>
    <row r="32" spans="2:11" ht="15.6" x14ac:dyDescent="0.25">
      <c r="K32" s="10">
        <v>644.96546772666659</v>
      </c>
    </row>
    <row r="33" spans="11:11" ht="15.6" x14ac:dyDescent="0.25">
      <c r="K33" s="10">
        <v>636.5820485866667</v>
      </c>
    </row>
    <row r="34" spans="11:11" ht="15.6" x14ac:dyDescent="0.25">
      <c r="K34" s="10">
        <v>628.06252813333333</v>
      </c>
    </row>
    <row r="35" spans="11:11" ht="15.6" x14ac:dyDescent="0.25">
      <c r="K35" s="10">
        <v>398.62266099999999</v>
      </c>
    </row>
    <row r="36" spans="11:11" ht="15.6" x14ac:dyDescent="0.25">
      <c r="K36" s="10">
        <v>383.59345537800004</v>
      </c>
    </row>
    <row r="37" spans="11:11" ht="15.6" x14ac:dyDescent="0.25">
      <c r="K37" s="10">
        <v>387.56092082666663</v>
      </c>
    </row>
    <row r="38" spans="11:11" ht="15.6" x14ac:dyDescent="0.25">
      <c r="K38" s="10">
        <v>380.79470165488334</v>
      </c>
    </row>
    <row r="39" spans="11:11" ht="15.6" x14ac:dyDescent="0.25">
      <c r="K39" s="10">
        <v>381.50131998000006</v>
      </c>
    </row>
    <row r="40" spans="11:11" ht="15.6" x14ac:dyDescent="0.25">
      <c r="K40" s="10">
        <v>379.17653735279634</v>
      </c>
    </row>
    <row r="41" spans="11:11" ht="15.6" x14ac:dyDescent="0.25">
      <c r="K41" s="10">
        <v>401.44067626407002</v>
      </c>
    </row>
    <row r="42" spans="11:11" ht="15.6" x14ac:dyDescent="0.25">
      <c r="K42" s="10">
        <v>401.65882535999998</v>
      </c>
    </row>
    <row r="43" spans="11:11" ht="15.6" x14ac:dyDescent="0.25">
      <c r="K43" s="10">
        <v>419.14662583999996</v>
      </c>
    </row>
    <row r="44" spans="11:11" ht="15.6" x14ac:dyDescent="0.25">
      <c r="K44" s="10">
        <v>454.55451226666668</v>
      </c>
    </row>
    <row r="45" spans="11:11" ht="15.6" x14ac:dyDescent="0.25">
      <c r="K45" s="10">
        <v>315.38719418666665</v>
      </c>
    </row>
    <row r="46" spans="11:11" ht="15.6" x14ac:dyDescent="0.25">
      <c r="K46" s="10">
        <v>355.90699673333341</v>
      </c>
    </row>
    <row r="47" spans="11:11" ht="15.6" x14ac:dyDescent="0.25">
      <c r="K47" s="10">
        <v>387.18004041333324</v>
      </c>
    </row>
    <row r="48" spans="11:11" ht="15.6" x14ac:dyDescent="0.25">
      <c r="K48" s="10">
        <v>401.79524150701002</v>
      </c>
    </row>
    <row r="49" spans="11:11" ht="15.6" x14ac:dyDescent="0.25">
      <c r="K49" s="10">
        <v>392.8482954266666</v>
      </c>
    </row>
    <row r="50" spans="11:11" ht="15.6" x14ac:dyDescent="0.25">
      <c r="K50" s="10">
        <v>380.1773146818087</v>
      </c>
    </row>
    <row r="51" spans="11:11" ht="15.6" x14ac:dyDescent="0.25">
      <c r="K51" s="10">
        <v>397.01638282836916</v>
      </c>
    </row>
    <row r="52" spans="11:11" ht="15.6" x14ac:dyDescent="0.25">
      <c r="K52" s="10">
        <v>392.42850410666665</v>
      </c>
    </row>
    <row r="53" spans="11:11" ht="15.6" x14ac:dyDescent="0.25">
      <c r="K53" s="10">
        <v>398.96247093333324</v>
      </c>
    </row>
    <row r="54" spans="11:11" ht="15.6" x14ac:dyDescent="0.25">
      <c r="K54" s="10">
        <v>397.17086993333334</v>
      </c>
    </row>
    <row r="55" spans="11:11" ht="15.6" x14ac:dyDescent="0.25">
      <c r="K55" s="10">
        <v>740.51600992666636</v>
      </c>
    </row>
    <row r="56" spans="11:11" ht="15.6" x14ac:dyDescent="0.25">
      <c r="K56" s="10">
        <v>788.69167383633328</v>
      </c>
    </row>
    <row r="57" spans="11:11" ht="15.6" x14ac:dyDescent="0.25">
      <c r="K57" s="10">
        <v>783.74308548666647</v>
      </c>
    </row>
    <row r="58" spans="11:11" ht="15.6" x14ac:dyDescent="0.25">
      <c r="K58" s="10">
        <v>806.00009000000023</v>
      </c>
    </row>
    <row r="59" spans="11:11" ht="15.6" x14ac:dyDescent="0.25">
      <c r="K59" s="10">
        <v>753.79994189333365</v>
      </c>
    </row>
    <row r="60" spans="11:11" ht="15.6" x14ac:dyDescent="0.25">
      <c r="K60" s="10">
        <v>754.615166564893</v>
      </c>
    </row>
    <row r="61" spans="11:11" ht="15.6" x14ac:dyDescent="0.25">
      <c r="K61" s="10">
        <v>765.07294311333328</v>
      </c>
    </row>
    <row r="62" spans="11:11" ht="15.6" x14ac:dyDescent="0.25">
      <c r="K62" s="10">
        <v>857.57321491333323</v>
      </c>
    </row>
    <row r="63" spans="11:11" ht="15.6" x14ac:dyDescent="0.25">
      <c r="K63" s="10">
        <v>972.78727885999967</v>
      </c>
    </row>
    <row r="64" spans="11:11" ht="15.6" x14ac:dyDescent="0.25">
      <c r="K64" s="10">
        <v>1046.6621954466668</v>
      </c>
    </row>
    <row r="65" spans="11:11" ht="15.6" x14ac:dyDescent="0.25">
      <c r="K65" s="10">
        <v>169.69415469999996</v>
      </c>
    </row>
    <row r="66" spans="11:11" ht="15.6" x14ac:dyDescent="0.25">
      <c r="K66" s="10">
        <v>173.75377908666667</v>
      </c>
    </row>
    <row r="67" spans="11:11" ht="15.6" x14ac:dyDescent="0.25">
      <c r="K67" s="10">
        <v>181.46648981333334</v>
      </c>
    </row>
    <row r="68" spans="11:11" ht="15.6" x14ac:dyDescent="0.25">
      <c r="K68" s="10">
        <v>180.46855229333335</v>
      </c>
    </row>
    <row r="69" spans="11:11" ht="15.6" x14ac:dyDescent="0.25">
      <c r="K69" s="10">
        <v>176.57530076666666</v>
      </c>
    </row>
    <row r="70" spans="11:11" ht="15.6" x14ac:dyDescent="0.25">
      <c r="K70" s="10">
        <v>169.71652950000004</v>
      </c>
    </row>
    <row r="71" spans="11:11" ht="15.6" x14ac:dyDescent="0.25">
      <c r="K71" s="10">
        <v>173.98676512849633</v>
      </c>
    </row>
    <row r="72" spans="11:11" ht="15.6" x14ac:dyDescent="0.25">
      <c r="K72" s="10">
        <v>182.49648573333334</v>
      </c>
    </row>
    <row r="73" spans="11:11" ht="15.6" x14ac:dyDescent="0.25">
      <c r="K73" s="10">
        <v>185.44137674666666</v>
      </c>
    </row>
    <row r="74" spans="11:11" ht="15.6" x14ac:dyDescent="0.25">
      <c r="K74" s="10">
        <v>195.98652623333334</v>
      </c>
    </row>
    <row r="75" spans="11:11" ht="15.6" x14ac:dyDescent="0.25">
      <c r="K75" s="10">
        <v>190.94822575333333</v>
      </c>
    </row>
    <row r="76" spans="11:11" ht="15.6" x14ac:dyDescent="0.25">
      <c r="K76" s="10">
        <v>188.56961744127909</v>
      </c>
    </row>
    <row r="77" spans="11:11" ht="15.6" x14ac:dyDescent="0.25">
      <c r="K77" s="10">
        <v>187.75607406666663</v>
      </c>
    </row>
    <row r="78" spans="11:11" ht="15.6" x14ac:dyDescent="0.25">
      <c r="K78" s="10">
        <v>195.21582880721337</v>
      </c>
    </row>
    <row r="79" spans="11:11" ht="15.6" x14ac:dyDescent="0.25">
      <c r="K79" s="10">
        <v>193.37849047333333</v>
      </c>
    </row>
    <row r="80" spans="11:11" ht="15.6" x14ac:dyDescent="0.25">
      <c r="K80" s="10">
        <v>189.71723426876332</v>
      </c>
    </row>
    <row r="81" spans="11:11" ht="15.6" x14ac:dyDescent="0.25">
      <c r="K81" s="10">
        <v>226.23797925305001</v>
      </c>
    </row>
    <row r="82" spans="11:11" ht="15.6" x14ac:dyDescent="0.25">
      <c r="K82" s="10">
        <v>235.93472809333332</v>
      </c>
    </row>
    <row r="83" spans="11:11" ht="15.6" x14ac:dyDescent="0.25">
      <c r="K83" s="10">
        <v>251.89874125555556</v>
      </c>
    </row>
    <row r="84" spans="11:11" ht="15.6" x14ac:dyDescent="0.25">
      <c r="K84" s="10">
        <v>259.51291147777778</v>
      </c>
    </row>
    <row r="85" spans="11:11" ht="15.6" x14ac:dyDescent="0.25">
      <c r="K85" s="10">
        <v>286.31109839333334</v>
      </c>
    </row>
    <row r="86" spans="11:11" ht="15.6" x14ac:dyDescent="0.25">
      <c r="K86" s="10">
        <v>333.44079964666662</v>
      </c>
    </row>
    <row r="87" spans="11:11" ht="15.6" x14ac:dyDescent="0.25">
      <c r="K87" s="10">
        <v>336.33677155333339</v>
      </c>
    </row>
    <row r="88" spans="11:11" ht="15.6" x14ac:dyDescent="0.25">
      <c r="K88" s="10">
        <v>366.25966504666678</v>
      </c>
    </row>
    <row r="89" spans="11:11" ht="15.6" x14ac:dyDescent="0.25">
      <c r="K89" s="10">
        <v>379.09180007333327</v>
      </c>
    </row>
    <row r="90" spans="11:11" ht="15.6" x14ac:dyDescent="0.25">
      <c r="K90" s="10">
        <v>410.85326431333328</v>
      </c>
    </row>
    <row r="91" spans="11:11" ht="15.6" x14ac:dyDescent="0.25">
      <c r="K91" s="10">
        <v>452.26483730000001</v>
      </c>
    </row>
    <row r="92" spans="11:11" ht="15.6" x14ac:dyDescent="0.25">
      <c r="K92" s="10">
        <v>480.94605451333331</v>
      </c>
    </row>
    <row r="93" spans="11:11" ht="15.6" x14ac:dyDescent="0.25">
      <c r="K93" s="10">
        <v>519.30516572666659</v>
      </c>
    </row>
    <row r="94" spans="11:11" ht="15.6" x14ac:dyDescent="0.25">
      <c r="K94" s="10">
        <v>555.46734670000001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7686-126C-41AF-B1BA-95B680D6C51A}">
  <dimension ref="A1:V82"/>
  <sheetViews>
    <sheetView topLeftCell="P1" zoomScaleNormal="100" workbookViewId="0">
      <selection activeCell="V4" sqref="V4"/>
    </sheetView>
  </sheetViews>
  <sheetFormatPr defaultColWidth="8.77734375" defaultRowHeight="13.8" x14ac:dyDescent="0.25"/>
  <cols>
    <col min="2" max="2" width="15" bestFit="1" customWidth="1"/>
    <col min="3" max="3" width="12.77734375" bestFit="1" customWidth="1"/>
    <col min="4" max="4" width="15" bestFit="1" customWidth="1"/>
    <col min="5" max="5" width="14" bestFit="1" customWidth="1"/>
    <col min="6" max="6" width="15" bestFit="1" customWidth="1"/>
    <col min="7" max="7" width="17.33203125" bestFit="1" customWidth="1"/>
    <col min="8" max="8" width="21.77734375" bestFit="1" customWidth="1"/>
    <col min="9" max="10" width="19.44140625" bestFit="1" customWidth="1"/>
    <col min="11" max="11" width="18.44140625" bestFit="1" customWidth="1"/>
    <col min="12" max="13" width="20.6640625" bestFit="1" customWidth="1"/>
    <col min="14" max="14" width="18.44140625" bestFit="1" customWidth="1"/>
    <col min="15" max="15" width="20.6640625" bestFit="1" customWidth="1"/>
    <col min="16" max="16" width="19.44140625" bestFit="1" customWidth="1"/>
    <col min="17" max="17" width="19.44140625" customWidth="1"/>
    <col min="19" max="19" width="9" bestFit="1" customWidth="1"/>
    <col min="21" max="21" width="12" bestFit="1" customWidth="1"/>
    <col min="22" max="22" width="14.109375" bestFit="1" customWidth="1"/>
  </cols>
  <sheetData>
    <row r="1" spans="1:22" x14ac:dyDescent="0.25"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t="s">
        <v>109</v>
      </c>
      <c r="R1" s="7" t="s">
        <v>108</v>
      </c>
      <c r="S1" s="7" t="s">
        <v>26</v>
      </c>
      <c r="U1" s="9" t="s">
        <v>107</v>
      </c>
      <c r="V1" t="s">
        <v>120</v>
      </c>
    </row>
    <row r="2" spans="1:22" x14ac:dyDescent="0.25">
      <c r="A2" t="s">
        <v>27</v>
      </c>
      <c r="B2" s="7">
        <f>-CO2排放量!K15*100</f>
        <v>-17060.296411333336</v>
      </c>
      <c r="C2" s="7">
        <f>就业人口!K15</f>
        <v>1104.33</v>
      </c>
      <c r="D2" s="7">
        <f>资本存量!K15</f>
        <v>28026.255673458301</v>
      </c>
      <c r="E2" s="7">
        <f>能源消耗量!L15</f>
        <v>10489.09</v>
      </c>
      <c r="F2" s="7">
        <f t="shared" ref="F2:F33" si="0">S2-B2</f>
        <v>36255.986411333331</v>
      </c>
      <c r="G2" s="7">
        <f t="shared" ref="G2:G33" si="1">C2*C2</f>
        <v>1219544.7488999998</v>
      </c>
      <c r="H2" s="7">
        <f t="shared" ref="H2:H33" si="2">D2*D2</f>
        <v>785471007.07405365</v>
      </c>
      <c r="I2" s="7">
        <f t="shared" ref="I2:I33" si="3">E2*E2</f>
        <v>110021009.0281</v>
      </c>
      <c r="J2" s="7">
        <f t="shared" ref="J2:J33" si="4">C2*D2</f>
        <v>30950234.927870203</v>
      </c>
      <c r="K2" s="7">
        <f t="shared" ref="K2:K33" si="5">C2*E2</f>
        <v>11583416.7597</v>
      </c>
      <c r="L2" s="7">
        <f t="shared" ref="L2:L33" si="6">D2*E2</f>
        <v>293969918.12191474</v>
      </c>
      <c r="M2" s="7">
        <f>F2*F2</f>
        <v>1314496550.6587873</v>
      </c>
      <c r="N2" s="7">
        <f t="shared" ref="N2:N33" si="7">C2*F2</f>
        <v>40038573.473627739</v>
      </c>
      <c r="O2" s="7">
        <f t="shared" ref="O2:O33" si="8">D2*F2</f>
        <v>1016119544.8574579</v>
      </c>
      <c r="P2" s="7">
        <f t="shared" ref="P2:P33" si="9">E2*F2</f>
        <v>380292304.50725234</v>
      </c>
      <c r="Q2">
        <v>1</v>
      </c>
      <c r="R2">
        <v>1</v>
      </c>
      <c r="S2">
        <f>GDP!K15</f>
        <v>19195.689999999999</v>
      </c>
      <c r="U2">
        <f>1+U14</f>
        <v>7.5714490000000003</v>
      </c>
      <c r="V2">
        <f>-($U$2+$U$4*B2*(-1)+$U$8*C2+$U$10*D2+$U$12*E2+$U$6*S2)/($U$14+$U$16*S2+$U$18*C2+$U$20*D2+$U$22*E2+$U$6*B2*(-1))</f>
        <v>-0.9998778312894655</v>
      </c>
    </row>
    <row r="3" spans="1:22" x14ac:dyDescent="0.25">
      <c r="A3" t="s">
        <v>28</v>
      </c>
      <c r="B3" s="7">
        <f>-CO2排放量!K16*100</f>
        <v>-16852.072117199998</v>
      </c>
      <c r="C3" s="7">
        <f>就业人口!K16</f>
        <v>1115.5</v>
      </c>
      <c r="D3" s="7">
        <f>资本存量!K16</f>
        <v>30590.115128806305</v>
      </c>
      <c r="E3" s="7">
        <f>能源消耗量!L16</f>
        <v>10573</v>
      </c>
      <c r="F3" s="7">
        <f t="shared" si="0"/>
        <v>37033.792117199999</v>
      </c>
      <c r="G3" s="7">
        <f t="shared" si="1"/>
        <v>1244340.25</v>
      </c>
      <c r="H3" s="7">
        <f t="shared" si="2"/>
        <v>935755143.59362435</v>
      </c>
      <c r="I3" s="7">
        <f t="shared" si="3"/>
        <v>111788329</v>
      </c>
      <c r="J3" s="7">
        <f t="shared" si="4"/>
        <v>34123273.426183432</v>
      </c>
      <c r="K3" s="7">
        <f t="shared" si="5"/>
        <v>11794181.5</v>
      </c>
      <c r="L3" s="7">
        <f t="shared" si="6"/>
        <v>323429287.25686908</v>
      </c>
      <c r="M3" s="7">
        <f t="shared" ref="M3:M33" si="10">F3*F3</f>
        <v>1371501758.5799847</v>
      </c>
      <c r="N3" s="7">
        <f t="shared" si="7"/>
        <v>41311195.1067366</v>
      </c>
      <c r="O3" s="7">
        <f t="shared" si="8"/>
        <v>1132867964.5214274</v>
      </c>
      <c r="P3" s="7">
        <f t="shared" si="9"/>
        <v>391558284.05515558</v>
      </c>
      <c r="Q3">
        <v>1</v>
      </c>
      <c r="R3">
        <v>2</v>
      </c>
      <c r="S3">
        <f>GDP!K16</f>
        <v>20181.72</v>
      </c>
      <c r="U3" s="9" t="s">
        <v>110</v>
      </c>
      <c r="V3">
        <f t="shared" ref="V3:V33" si="11">-($U$2+$U$4*B3*(-1)+$U$8*C3+$U$10*D3+$U$12*E3+$U$6*S3)/($U$14+$U$16*S3+$U$18*C3+$U$20*D3+$U$22*E3+$U$6*B3*(-1))</f>
        <v>-0.99986504907955109</v>
      </c>
    </row>
    <row r="4" spans="1:22" x14ac:dyDescent="0.25">
      <c r="A4" t="s">
        <v>29</v>
      </c>
      <c r="B4" s="7">
        <f>-CO2排放量!K17*100</f>
        <v>-18178.292098000002</v>
      </c>
      <c r="C4" s="7">
        <f>就业人口!K17</f>
        <v>1137.3499999999999</v>
      </c>
      <c r="D4" s="7">
        <f>资本存量!K17</f>
        <v>33301.254076440899</v>
      </c>
      <c r="E4" s="7">
        <f>能源消耗量!L17</f>
        <v>10890.39</v>
      </c>
      <c r="F4" s="7">
        <f t="shared" si="0"/>
        <v>39996.442098</v>
      </c>
      <c r="G4" s="7">
        <f t="shared" si="1"/>
        <v>1293565.0224999997</v>
      </c>
      <c r="H4" s="7">
        <f t="shared" si="2"/>
        <v>1108973523.0636716</v>
      </c>
      <c r="I4" s="7">
        <f t="shared" si="3"/>
        <v>118600594.35209998</v>
      </c>
      <c r="J4" s="7">
        <f t="shared" si="4"/>
        <v>37875181.323840052</v>
      </c>
      <c r="K4" s="7">
        <f t="shared" si="5"/>
        <v>12386185.066499999</v>
      </c>
      <c r="L4" s="7">
        <f t="shared" si="6"/>
        <v>362663644.38153118</v>
      </c>
      <c r="M4" s="7">
        <f t="shared" si="10"/>
        <v>1599715380.4986665</v>
      </c>
      <c r="N4" s="7">
        <f t="shared" si="7"/>
        <v>45489953.420160294</v>
      </c>
      <c r="O4" s="7">
        <f t="shared" si="8"/>
        <v>1331931680.4591548</v>
      </c>
      <c r="P4" s="7">
        <f t="shared" si="9"/>
        <v>435576853.0596382</v>
      </c>
      <c r="Q4">
        <v>1</v>
      </c>
      <c r="R4">
        <v>3</v>
      </c>
      <c r="S4">
        <f>GDP!K17</f>
        <v>21818.15</v>
      </c>
      <c r="U4" s="14">
        <v>-0.65469999999999995</v>
      </c>
      <c r="V4">
        <f t="shared" si="11"/>
        <v>-0.99987471326873223</v>
      </c>
    </row>
    <row r="5" spans="1:22" x14ac:dyDescent="0.25">
      <c r="A5" t="s">
        <v>30</v>
      </c>
      <c r="B5" s="7">
        <f>-CO2排放量!K18*100</f>
        <v>-15654.657271800002</v>
      </c>
      <c r="C5" s="7">
        <f>就业人口!K18</f>
        <v>1365.63</v>
      </c>
      <c r="D5" s="7">
        <f>资本存量!K18</f>
        <v>36120.763685102575</v>
      </c>
      <c r="E5" s="7">
        <f>能源消耗量!L18</f>
        <v>10639.86</v>
      </c>
      <c r="F5" s="7">
        <f t="shared" si="0"/>
        <v>39222.352619800004</v>
      </c>
      <c r="G5" s="7">
        <f t="shared" si="1"/>
        <v>1864945.2969000002</v>
      </c>
      <c r="H5" s="7">
        <f t="shared" si="2"/>
        <v>1304709569.195025</v>
      </c>
      <c r="I5" s="7">
        <f t="shared" si="3"/>
        <v>113206620.81960002</v>
      </c>
      <c r="J5" s="7">
        <f t="shared" si="4"/>
        <v>49327598.511286631</v>
      </c>
      <c r="K5" s="7">
        <f t="shared" si="5"/>
        <v>14530112.011800002</v>
      </c>
      <c r="L5" s="7">
        <f t="shared" si="6"/>
        <v>384319868.7025755</v>
      </c>
      <c r="M5" s="7">
        <f t="shared" si="10"/>
        <v>1538392945.0319321</v>
      </c>
      <c r="N5" s="7">
        <f t="shared" si="7"/>
        <v>53563221.40817748</v>
      </c>
      <c r="O5" s="7">
        <f t="shared" si="8"/>
        <v>1416741330.1535597</v>
      </c>
      <c r="P5" s="7">
        <f t="shared" si="9"/>
        <v>417320340.7453053</v>
      </c>
      <c r="Q5">
        <v>1</v>
      </c>
      <c r="R5">
        <v>4</v>
      </c>
      <c r="S5">
        <f>GDP!K18</f>
        <v>23567.695348000001</v>
      </c>
      <c r="U5" s="9" t="s">
        <v>111</v>
      </c>
      <c r="V5">
        <f t="shared" si="11"/>
        <v>-0.99982226850960731</v>
      </c>
    </row>
    <row r="6" spans="1:22" x14ac:dyDescent="0.25">
      <c r="A6" t="s">
        <v>31</v>
      </c>
      <c r="B6" s="7">
        <f>-CO2排放量!K19*100</f>
        <v>-16164.688139999995</v>
      </c>
      <c r="C6" s="7">
        <f>就业人口!K19</f>
        <v>1361.51</v>
      </c>
      <c r="D6" s="7">
        <f>资本存量!K19</f>
        <v>39005.870371332727</v>
      </c>
      <c r="E6" s="7">
        <f>能源消耗量!L19</f>
        <v>10930.53</v>
      </c>
      <c r="F6" s="7">
        <f t="shared" si="0"/>
        <v>41288.138139999995</v>
      </c>
      <c r="G6" s="7">
        <f t="shared" si="1"/>
        <v>1853709.4801</v>
      </c>
      <c r="H6" s="7">
        <f t="shared" si="2"/>
        <v>1521457923.4252124</v>
      </c>
      <c r="I6" s="7">
        <f t="shared" si="3"/>
        <v>119476486.08090001</v>
      </c>
      <c r="J6" s="7">
        <f t="shared" si="4"/>
        <v>53106882.569273219</v>
      </c>
      <c r="K6" s="7">
        <f t="shared" si="5"/>
        <v>14882025.9003</v>
      </c>
      <c r="L6" s="7">
        <f t="shared" si="6"/>
        <v>426354836.26996356</v>
      </c>
      <c r="M6" s="7">
        <f t="shared" si="10"/>
        <v>1704710351.0677223</v>
      </c>
      <c r="N6" s="7">
        <f t="shared" si="7"/>
        <v>56214212.958991393</v>
      </c>
      <c r="O6" s="7">
        <f t="shared" si="8"/>
        <v>1610479764.1625185</v>
      </c>
      <c r="P6" s="7">
        <f t="shared" si="9"/>
        <v>451301232.5834142</v>
      </c>
      <c r="Q6">
        <v>1</v>
      </c>
      <c r="R6">
        <v>5</v>
      </c>
      <c r="S6">
        <f>GDP!K19</f>
        <v>25123.45</v>
      </c>
      <c r="U6">
        <f>U4</f>
        <v>-0.65469999999999995</v>
      </c>
      <c r="V6">
        <f t="shared" si="11"/>
        <v>-0.99982060942102524</v>
      </c>
    </row>
    <row r="7" spans="1:22" x14ac:dyDescent="0.25">
      <c r="A7" t="s">
        <v>32</v>
      </c>
      <c r="B7" s="7">
        <f>-CO2排放量!K20*100</f>
        <v>-15822.522638666669</v>
      </c>
      <c r="C7" s="7">
        <f>就业人口!K20</f>
        <v>1365.24</v>
      </c>
      <c r="D7" s="7">
        <f>资本存量!K20</f>
        <v>42017.186815684785</v>
      </c>
      <c r="E7" s="7">
        <f>能源消耗量!L20</f>
        <v>11241.73</v>
      </c>
      <c r="F7" s="7">
        <f t="shared" si="0"/>
        <v>44001.172638666671</v>
      </c>
      <c r="G7" s="7">
        <f t="shared" si="1"/>
        <v>1863880.2576000001</v>
      </c>
      <c r="H7" s="7">
        <f t="shared" si="2"/>
        <v>1765443987.9041553</v>
      </c>
      <c r="I7" s="7">
        <f t="shared" si="3"/>
        <v>126376493.39289999</v>
      </c>
      <c r="J7" s="7">
        <f t="shared" si="4"/>
        <v>57363544.128245495</v>
      </c>
      <c r="K7" s="7">
        <f t="shared" si="5"/>
        <v>15347659.4652</v>
      </c>
      <c r="L7" s="7">
        <f t="shared" si="6"/>
        <v>472345869.54148811</v>
      </c>
      <c r="M7" s="7">
        <f t="shared" si="10"/>
        <v>1936103193.5777485</v>
      </c>
      <c r="N7" s="7">
        <f t="shared" si="7"/>
        <v>60072160.933213286</v>
      </c>
      <c r="O7" s="7">
        <f t="shared" si="8"/>
        <v>1848805490.8680553</v>
      </c>
      <c r="P7" s="7">
        <f t="shared" si="9"/>
        <v>494649302.48727822</v>
      </c>
      <c r="Q7">
        <v>1</v>
      </c>
      <c r="R7">
        <v>6</v>
      </c>
      <c r="S7">
        <f>GDP!K20</f>
        <v>28178.65</v>
      </c>
      <c r="U7" s="9" t="s">
        <v>112</v>
      </c>
      <c r="V7">
        <f t="shared" si="11"/>
        <v>-0.99982962446603441</v>
      </c>
    </row>
    <row r="8" spans="1:22" x14ac:dyDescent="0.25">
      <c r="A8" t="s">
        <v>33</v>
      </c>
      <c r="B8" s="7">
        <f>-CO2排放量!K21*100</f>
        <v>-15657.804983333335</v>
      </c>
      <c r="C8" s="7">
        <f>就业人口!K21</f>
        <v>1372.65</v>
      </c>
      <c r="D8" s="7">
        <f>资本存量!K21</f>
        <v>45230.136881379047</v>
      </c>
      <c r="E8" s="7">
        <f>能源消耗量!L21</f>
        <v>11381.85</v>
      </c>
      <c r="F8" s="7">
        <f t="shared" si="0"/>
        <v>46290.79498333334</v>
      </c>
      <c r="G8" s="7">
        <f t="shared" si="1"/>
        <v>1884168.0225000002</v>
      </c>
      <c r="H8" s="7">
        <f t="shared" si="2"/>
        <v>2045765282.308285</v>
      </c>
      <c r="I8" s="7">
        <f t="shared" si="3"/>
        <v>129546509.42250001</v>
      </c>
      <c r="J8" s="7">
        <f t="shared" si="4"/>
        <v>62085147.390224956</v>
      </c>
      <c r="K8" s="7">
        <f t="shared" si="5"/>
        <v>15623296.402500002</v>
      </c>
      <c r="L8" s="7">
        <f t="shared" si="6"/>
        <v>514802633.46332413</v>
      </c>
      <c r="M8" s="7">
        <f t="shared" si="10"/>
        <v>2142837700.1889992</v>
      </c>
      <c r="N8" s="7">
        <f t="shared" si="7"/>
        <v>63541059.73387251</v>
      </c>
      <c r="O8" s="7">
        <f t="shared" si="8"/>
        <v>2093738993.4440215</v>
      </c>
      <c r="P8" s="7">
        <f t="shared" si="9"/>
        <v>526874884.88105261</v>
      </c>
      <c r="Q8">
        <v>1</v>
      </c>
      <c r="R8">
        <v>7</v>
      </c>
      <c r="S8">
        <f>GDP!K21</f>
        <v>30632.99</v>
      </c>
      <c r="U8" s="14">
        <v>1.949462</v>
      </c>
      <c r="V8">
        <f t="shared" si="11"/>
        <v>-0.99982678031039607</v>
      </c>
    </row>
    <row r="9" spans="1:22" x14ac:dyDescent="0.25">
      <c r="A9" t="s">
        <v>34</v>
      </c>
      <c r="B9" s="7">
        <f>-CO2排放量!K22*100</f>
        <v>-15147.447972</v>
      </c>
      <c r="C9" s="7">
        <f>就业人口!K22</f>
        <v>1375.6599999999999</v>
      </c>
      <c r="D9" s="7">
        <f>资本存量!K22</f>
        <v>48511.466940766666</v>
      </c>
      <c r="E9" s="7">
        <f>能源消耗量!L22</f>
        <v>11453.73</v>
      </c>
      <c r="F9" s="7">
        <f t="shared" si="0"/>
        <v>51159.267972000001</v>
      </c>
      <c r="G9" s="7">
        <f t="shared" si="1"/>
        <v>1892440.4355999995</v>
      </c>
      <c r="H9" s="7">
        <f t="shared" si="2"/>
        <v>2353362424.7450972</v>
      </c>
      <c r="I9" s="7">
        <f t="shared" si="3"/>
        <v>131187930.91289999</v>
      </c>
      <c r="J9" s="7">
        <f t="shared" si="4"/>
        <v>66735284.611735068</v>
      </c>
      <c r="K9" s="7">
        <f t="shared" si="5"/>
        <v>15756438.211799998</v>
      </c>
      <c r="L9" s="7">
        <f t="shared" si="6"/>
        <v>555637244.24346733</v>
      </c>
      <c r="M9" s="7">
        <f t="shared" si="10"/>
        <v>2617270699.4309053</v>
      </c>
      <c r="N9" s="7">
        <f t="shared" si="7"/>
        <v>70377758.578361511</v>
      </c>
      <c r="O9" s="7">
        <f t="shared" si="8"/>
        <v>2481811136.937501</v>
      </c>
      <c r="P9" s="7">
        <f>E9*F9</f>
        <v>585964442.3489356</v>
      </c>
      <c r="Q9">
        <v>1</v>
      </c>
      <c r="R9">
        <v>8</v>
      </c>
      <c r="S9">
        <f>GDP!K22</f>
        <v>36011.82</v>
      </c>
      <c r="U9" s="9" t="s">
        <v>113</v>
      </c>
      <c r="V9">
        <f t="shared" si="11"/>
        <v>-0.99986370240387246</v>
      </c>
    </row>
    <row r="10" spans="1:22" x14ac:dyDescent="0.25">
      <c r="A10" t="s">
        <v>35</v>
      </c>
      <c r="B10" s="7">
        <f>-CO2排放量!K23*100</f>
        <v>-15949.730360666668</v>
      </c>
      <c r="C10" s="7">
        <f>就业人口!K23</f>
        <v>1376.2</v>
      </c>
      <c r="D10" s="7">
        <f>资本存量!K23</f>
        <v>51866.583897653072</v>
      </c>
      <c r="E10" s="7">
        <f>能源消耗量!L23</f>
        <v>11696.46</v>
      </c>
      <c r="F10" s="7">
        <f t="shared" si="0"/>
        <v>54105.050360666668</v>
      </c>
      <c r="G10" s="7">
        <f t="shared" si="1"/>
        <v>1893926.4400000002</v>
      </c>
      <c r="H10" s="7">
        <f t="shared" si="2"/>
        <v>2690142525.212285</v>
      </c>
      <c r="I10" s="7">
        <f t="shared" si="3"/>
        <v>136807176.53159997</v>
      </c>
      <c r="J10" s="7">
        <f t="shared" si="4"/>
        <v>71378792.759950161</v>
      </c>
      <c r="K10" s="7">
        <f t="shared" si="5"/>
        <v>16096668.251999998</v>
      </c>
      <c r="L10" s="7">
        <f t="shared" si="6"/>
        <v>606655423.89554322</v>
      </c>
      <c r="M10" s="7">
        <f t="shared" si="10"/>
        <v>2927356474.5302763</v>
      </c>
      <c r="N10" s="7">
        <f t="shared" si="7"/>
        <v>74459370.306349471</v>
      </c>
      <c r="O10" s="7">
        <f t="shared" si="8"/>
        <v>2806244133.8182626</v>
      </c>
      <c r="P10" s="7">
        <f t="shared" si="9"/>
        <v>632837557.34152317</v>
      </c>
      <c r="Q10">
        <v>1</v>
      </c>
      <c r="R10">
        <v>9</v>
      </c>
      <c r="S10">
        <f>GDP!K23</f>
        <v>38155.32</v>
      </c>
      <c r="U10" s="14">
        <v>0.49392809999999998</v>
      </c>
      <c r="V10">
        <f t="shared" si="11"/>
        <v>-0.99986872656263492</v>
      </c>
    </row>
    <row r="11" spans="1:22" x14ac:dyDescent="0.25">
      <c r="A11" t="s">
        <v>36</v>
      </c>
      <c r="B11" s="7">
        <f>-CO2排放量!K24*100</f>
        <v>-15462.688177333333</v>
      </c>
      <c r="C11" s="7">
        <f>就业人口!K24</f>
        <v>1374</v>
      </c>
      <c r="D11" s="7">
        <f>资本存量!K24</f>
        <v>55724.86805834798</v>
      </c>
      <c r="E11" s="7">
        <f>能源消耗量!L24</f>
        <v>11099.59</v>
      </c>
      <c r="F11" s="7">
        <f t="shared" si="0"/>
        <v>54163.268177333332</v>
      </c>
      <c r="G11" s="7">
        <f t="shared" si="1"/>
        <v>1887876</v>
      </c>
      <c r="H11" s="7">
        <f t="shared" si="2"/>
        <v>3105260920.1202908</v>
      </c>
      <c r="I11" s="7">
        <f t="shared" si="3"/>
        <v>123200898.1681</v>
      </c>
      <c r="J11" s="7">
        <f t="shared" si="4"/>
        <v>76565968.712170124</v>
      </c>
      <c r="K11" s="7">
        <f t="shared" si="5"/>
        <v>15250836.66</v>
      </c>
      <c r="L11" s="7">
        <f t="shared" si="6"/>
        <v>618523188.25175869</v>
      </c>
      <c r="M11" s="7">
        <f t="shared" si="10"/>
        <v>2933659619.6497297</v>
      </c>
      <c r="N11" s="7">
        <f t="shared" si="7"/>
        <v>74420330.475656003</v>
      </c>
      <c r="O11" s="7">
        <f t="shared" si="8"/>
        <v>3018240972.7908177</v>
      </c>
      <c r="P11" s="7">
        <f t="shared" si="9"/>
        <v>601190069.82844722</v>
      </c>
      <c r="Q11">
        <v>1</v>
      </c>
      <c r="R11">
        <v>10</v>
      </c>
      <c r="S11">
        <f>GDP!K24</f>
        <v>38700.58</v>
      </c>
      <c r="U11" s="9" t="s">
        <v>114</v>
      </c>
      <c r="V11">
        <f t="shared" si="11"/>
        <v>-0.99982544074294011</v>
      </c>
    </row>
    <row r="12" spans="1:22" x14ac:dyDescent="0.25">
      <c r="A12" t="s">
        <v>37</v>
      </c>
      <c r="B12" s="7">
        <f>-CO2排放量!K25*100</f>
        <v>-61310.788851999998</v>
      </c>
      <c r="C12" s="7">
        <f>就业人口!K25</f>
        <v>4758.2300000000005</v>
      </c>
      <c r="D12" s="7">
        <f>资本存量!K25</f>
        <v>86020.796837350936</v>
      </c>
      <c r="E12" s="7">
        <f>能源消耗量!L25</f>
        <v>27588.97</v>
      </c>
      <c r="F12" s="7">
        <f t="shared" si="0"/>
        <v>110421.05885199999</v>
      </c>
      <c r="G12" s="7">
        <f t="shared" si="1"/>
        <v>22640752.732900005</v>
      </c>
      <c r="H12" s="7">
        <f t="shared" si="2"/>
        <v>7399577488.5328045</v>
      </c>
      <c r="I12" s="7">
        <f t="shared" si="3"/>
        <v>761151265.66090012</v>
      </c>
      <c r="J12" s="7">
        <f t="shared" si="4"/>
        <v>409306736.13538837</v>
      </c>
      <c r="K12" s="7">
        <f t="shared" si="5"/>
        <v>131274664.72310002</v>
      </c>
      <c r="L12" s="7">
        <f t="shared" si="6"/>
        <v>2373225183.3217697</v>
      </c>
      <c r="M12" s="7">
        <f t="shared" si="10"/>
        <v>12192810237.996845</v>
      </c>
      <c r="N12" s="7">
        <f t="shared" si="7"/>
        <v>525408794.86135197</v>
      </c>
      <c r="O12" s="7">
        <f t="shared" si="8"/>
        <v>9498507470.0730629</v>
      </c>
      <c r="P12" s="7">
        <f t="shared" si="9"/>
        <v>3046403280.0360622</v>
      </c>
      <c r="Q12">
        <v>2</v>
      </c>
      <c r="R12">
        <v>1</v>
      </c>
      <c r="S12">
        <f>GDP!K25</f>
        <v>49110.27</v>
      </c>
      <c r="U12" s="14">
        <v>-4.2995499999999999E-2</v>
      </c>
      <c r="V12">
        <f t="shared" si="11"/>
        <v>-0.99995393450044334</v>
      </c>
    </row>
    <row r="13" spans="1:22" x14ac:dyDescent="0.25">
      <c r="A13" t="s">
        <v>38</v>
      </c>
      <c r="B13" s="7">
        <f>-CO2排放量!K26*100</f>
        <v>-61998.858501333336</v>
      </c>
      <c r="C13" s="7">
        <f>就业人口!K26</f>
        <v>4759.5300000000007</v>
      </c>
      <c r="D13" s="7">
        <f>资本存量!K26</f>
        <v>109469.38034096525</v>
      </c>
      <c r="E13" s="7">
        <f>能源消耗量!L26</f>
        <v>28849.84</v>
      </c>
      <c r="F13" s="7">
        <f t="shared" si="0"/>
        <v>116057.07850133334</v>
      </c>
      <c r="G13" s="7">
        <f t="shared" si="1"/>
        <v>22653125.820900008</v>
      </c>
      <c r="H13" s="7">
        <f t="shared" si="2"/>
        <v>11983545232.234909</v>
      </c>
      <c r="I13" s="7">
        <f t="shared" si="3"/>
        <v>832313268.02559996</v>
      </c>
      <c r="J13" s="7">
        <f t="shared" si="4"/>
        <v>521022799.81423438</v>
      </c>
      <c r="K13" s="7">
        <f t="shared" si="5"/>
        <v>137311678.97520003</v>
      </c>
      <c r="L13" s="7">
        <f t="shared" si="6"/>
        <v>3158174107.7359929</v>
      </c>
      <c r="M13" s="7">
        <f t="shared" si="10"/>
        <v>13469245470.264648</v>
      </c>
      <c r="N13" s="7">
        <f t="shared" si="7"/>
        <v>552377146.83945107</v>
      </c>
      <c r="O13" s="7">
        <f t="shared" si="8"/>
        <v>12704696467.723721</v>
      </c>
      <c r="P13" s="7">
        <f t="shared" si="9"/>
        <v>3348228145.6309066</v>
      </c>
      <c r="Q13">
        <v>2</v>
      </c>
      <c r="R13">
        <v>2</v>
      </c>
      <c r="S13">
        <f>GDP!K26</f>
        <v>54058.22</v>
      </c>
      <c r="U13" s="9" t="s">
        <v>115</v>
      </c>
      <c r="V13">
        <f t="shared" si="11"/>
        <v>-0.99992789095211643</v>
      </c>
    </row>
    <row r="14" spans="1:22" x14ac:dyDescent="0.25">
      <c r="A14" t="s">
        <v>39</v>
      </c>
      <c r="B14" s="7">
        <f>-CO2排放量!K27*100</f>
        <v>-63844.095200000003</v>
      </c>
      <c r="C14" s="7">
        <f>就业人口!K27</f>
        <v>4759.8900000000003</v>
      </c>
      <c r="D14" s="7">
        <f>资本存量!K27</f>
        <v>134942.83982823259</v>
      </c>
      <c r="E14" s="7">
        <f>能源消耗量!L27</f>
        <v>29205.38</v>
      </c>
      <c r="F14" s="7">
        <f t="shared" si="0"/>
        <v>123597.46520000001</v>
      </c>
      <c r="G14" s="7">
        <f t="shared" si="1"/>
        <v>22656552.812100004</v>
      </c>
      <c r="H14" s="7">
        <f t="shared" si="2"/>
        <v>18209570020.908035</v>
      </c>
      <c r="I14" s="7">
        <f t="shared" si="3"/>
        <v>852954220.94440007</v>
      </c>
      <c r="J14" s="7">
        <f t="shared" si="4"/>
        <v>642313073.87000608</v>
      </c>
      <c r="K14" s="7">
        <f t="shared" si="5"/>
        <v>139014396.20820001</v>
      </c>
      <c r="L14" s="7">
        <f t="shared" si="6"/>
        <v>3941056915.4626679</v>
      </c>
      <c r="M14" s="7">
        <f t="shared" si="10"/>
        <v>15276333403.865213</v>
      </c>
      <c r="N14" s="7">
        <f t="shared" si="7"/>
        <v>588310338.63082802</v>
      </c>
      <c r="O14" s="7">
        <f t="shared" si="8"/>
        <v>16678592949.659153</v>
      </c>
      <c r="P14" s="7">
        <f t="shared" si="9"/>
        <v>3609710938.2027764</v>
      </c>
      <c r="Q14">
        <v>2</v>
      </c>
      <c r="R14">
        <v>3</v>
      </c>
      <c r="S14">
        <f>GDP!K27</f>
        <v>59753.37</v>
      </c>
      <c r="U14" s="14">
        <f>6.571449</f>
        <v>6.5714490000000003</v>
      </c>
      <c r="V14">
        <f t="shared" si="11"/>
        <v>-0.99983966917386302</v>
      </c>
    </row>
    <row r="15" spans="1:22" x14ac:dyDescent="0.25">
      <c r="A15" t="s">
        <v>40</v>
      </c>
      <c r="B15" s="7">
        <f>-CO2排放量!K28*100</f>
        <v>-62107.117427333331</v>
      </c>
      <c r="C15" s="7">
        <f>就业人口!K28</f>
        <v>4760.83</v>
      </c>
      <c r="D15" s="7">
        <f>资本存量!K28</f>
        <v>163541.07720472227</v>
      </c>
      <c r="E15" s="7">
        <f>能源消耗量!L28</f>
        <v>29863.03</v>
      </c>
      <c r="F15" s="7">
        <f t="shared" si="0"/>
        <v>127195.43742733332</v>
      </c>
      <c r="G15" s="7">
        <f t="shared" si="1"/>
        <v>22665502.288899999</v>
      </c>
      <c r="H15" s="7">
        <f t="shared" si="2"/>
        <v>26745683933.28093</v>
      </c>
      <c r="I15" s="7">
        <f t="shared" si="3"/>
        <v>891800560.78089988</v>
      </c>
      <c r="J15" s="7">
        <f t="shared" si="4"/>
        <v>778591266.58855796</v>
      </c>
      <c r="K15" s="7">
        <f t="shared" si="5"/>
        <v>142172809.11489999</v>
      </c>
      <c r="L15" s="7">
        <f t="shared" si="6"/>
        <v>4883832094.796937</v>
      </c>
      <c r="M15" s="7">
        <f t="shared" si="10"/>
        <v>16178679302.330667</v>
      </c>
      <c r="N15" s="7">
        <f t="shared" si="7"/>
        <v>605555854.36717129</v>
      </c>
      <c r="O15" s="7">
        <f t="shared" si="8"/>
        <v>20801678852.391941</v>
      </c>
      <c r="P15" s="7">
        <f t="shared" si="9"/>
        <v>3798441163.7555776</v>
      </c>
      <c r="Q15">
        <v>2</v>
      </c>
      <c r="R15">
        <v>4</v>
      </c>
      <c r="S15">
        <f>GDP!K28</f>
        <v>65088.32</v>
      </c>
      <c r="U15" s="9" t="s">
        <v>116</v>
      </c>
      <c r="V15">
        <f t="shared" si="11"/>
        <v>-1.0001816090550915</v>
      </c>
    </row>
    <row r="16" spans="1:22" x14ac:dyDescent="0.25">
      <c r="A16" t="s">
        <v>41</v>
      </c>
      <c r="B16" s="7">
        <f>-CO2排放量!K29*100</f>
        <v>-63416.123835999999</v>
      </c>
      <c r="C16" s="7">
        <f>就业人口!K29</f>
        <v>4758.5</v>
      </c>
      <c r="D16" s="7">
        <f>资本存量!K29</f>
        <v>193746.30379306892</v>
      </c>
      <c r="E16" s="7">
        <f>能源消耗量!L29</f>
        <v>30374.14</v>
      </c>
      <c r="F16" s="7">
        <f t="shared" si="0"/>
        <v>133532.50383599999</v>
      </c>
      <c r="G16" s="7">
        <f t="shared" si="1"/>
        <v>22643322.25</v>
      </c>
      <c r="H16" s="7">
        <f t="shared" si="2"/>
        <v>37537630233.476151</v>
      </c>
      <c r="I16" s="7">
        <f t="shared" si="3"/>
        <v>922588380.73959994</v>
      </c>
      <c r="J16" s="7">
        <f t="shared" si="4"/>
        <v>921941786.59931839</v>
      </c>
      <c r="K16" s="7">
        <f t="shared" si="5"/>
        <v>144535345.19</v>
      </c>
      <c r="L16" s="7">
        <f t="shared" si="6"/>
        <v>5884877355.8932066</v>
      </c>
      <c r="M16" s="7">
        <f t="shared" si="10"/>
        <v>17830929580.711353</v>
      </c>
      <c r="N16" s="7">
        <f t="shared" si="7"/>
        <v>635414419.50360596</v>
      </c>
      <c r="O16" s="7">
        <f t="shared" si="8"/>
        <v>25871429054.458794</v>
      </c>
      <c r="P16" s="7">
        <f t="shared" si="9"/>
        <v>4055934966.0652008</v>
      </c>
      <c r="Q16">
        <v>2</v>
      </c>
      <c r="R16">
        <v>5</v>
      </c>
      <c r="S16">
        <f>GDP!K29</f>
        <v>70116.38</v>
      </c>
      <c r="U16">
        <f>U6</f>
        <v>-0.65469999999999995</v>
      </c>
      <c r="V16">
        <f t="shared" si="11"/>
        <v>-1.0000615378992037</v>
      </c>
    </row>
    <row r="17" spans="1:22" x14ac:dyDescent="0.25">
      <c r="A17" t="s">
        <v>42</v>
      </c>
      <c r="B17" s="7">
        <f>-CO2排放量!K30*100</f>
        <v>-65311.684464666665</v>
      </c>
      <c r="C17" s="7">
        <f>就业人口!K30</f>
        <v>4756.22</v>
      </c>
      <c r="D17" s="7">
        <f>资本存量!K30</f>
        <v>224517.5086289343</v>
      </c>
      <c r="E17" s="7">
        <f>能源消耗量!L30</f>
        <v>31209.71</v>
      </c>
      <c r="F17" s="7">
        <f t="shared" si="0"/>
        <v>142699.96446466667</v>
      </c>
      <c r="G17" s="7">
        <f t="shared" si="1"/>
        <v>22621628.688400004</v>
      </c>
      <c r="H17" s="7">
        <f t="shared" si="2"/>
        <v>50408111680.943588</v>
      </c>
      <c r="I17" s="7">
        <f t="shared" si="3"/>
        <v>974045998.28409994</v>
      </c>
      <c r="J17" s="7">
        <f t="shared" si="4"/>
        <v>1067854664.8911099</v>
      </c>
      <c r="K17" s="7">
        <f t="shared" si="5"/>
        <v>148440246.8962</v>
      </c>
      <c r="L17" s="7">
        <f t="shared" si="6"/>
        <v>7007126334.2315369</v>
      </c>
      <c r="M17" s="7">
        <f t="shared" si="10"/>
        <v>20363279858.217133</v>
      </c>
      <c r="N17" s="7">
        <f t="shared" si="7"/>
        <v>678712424.98613691</v>
      </c>
      <c r="O17" s="7">
        <f t="shared" si="8"/>
        <v>32038640503.044418</v>
      </c>
      <c r="P17" s="7">
        <f t="shared" si="9"/>
        <v>4453624507.9525518</v>
      </c>
      <c r="Q17">
        <v>2</v>
      </c>
      <c r="R17">
        <v>6</v>
      </c>
      <c r="S17">
        <f>GDP!K30</f>
        <v>77388.28</v>
      </c>
      <c r="U17" s="9" t="s">
        <v>117</v>
      </c>
      <c r="V17">
        <f t="shared" si="11"/>
        <v>-1.0000393598448158</v>
      </c>
    </row>
    <row r="18" spans="1:22" x14ac:dyDescent="0.25">
      <c r="A18" t="s">
        <v>43</v>
      </c>
      <c r="B18" s="7">
        <f>-CO2排放量!K31*100</f>
        <v>-64504.872020000003</v>
      </c>
      <c r="C18" s="7">
        <f>就业人口!K31</f>
        <v>4757.8</v>
      </c>
      <c r="D18" s="7">
        <f>资本存量!K31</f>
        <v>255964.0378005566</v>
      </c>
      <c r="E18" s="7">
        <f>能源消耗量!L31</f>
        <v>31602.09</v>
      </c>
      <c r="F18" s="7">
        <f t="shared" si="0"/>
        <v>150374.63201999999</v>
      </c>
      <c r="G18" s="7">
        <f t="shared" si="1"/>
        <v>22636660.840000004</v>
      </c>
      <c r="H18" s="7">
        <f t="shared" si="2"/>
        <v>65517588647.164772</v>
      </c>
      <c r="I18" s="7">
        <f t="shared" si="3"/>
        <v>998692092.36810005</v>
      </c>
      <c r="J18" s="7">
        <f t="shared" si="4"/>
        <v>1217825699.0474882</v>
      </c>
      <c r="K18" s="7">
        <f t="shared" si="5"/>
        <v>150356423.80200002</v>
      </c>
      <c r="L18" s="7">
        <f t="shared" si="6"/>
        <v>8088998559.3365917</v>
      </c>
      <c r="M18" s="7">
        <f t="shared" si="10"/>
        <v>22612529955.150406</v>
      </c>
      <c r="N18" s="7">
        <f t="shared" si="7"/>
        <v>715452424.224756</v>
      </c>
      <c r="O18" s="7">
        <f t="shared" si="8"/>
        <v>38490497994.612068</v>
      </c>
      <c r="P18" s="7">
        <f t="shared" si="9"/>
        <v>4752152654.8129215</v>
      </c>
      <c r="Q18">
        <v>2</v>
      </c>
      <c r="R18">
        <v>7</v>
      </c>
      <c r="S18">
        <f>GDP!K31</f>
        <v>85869.759999999995</v>
      </c>
      <c r="U18">
        <f>U8</f>
        <v>1.949462</v>
      </c>
      <c r="V18">
        <f t="shared" si="11"/>
        <v>-1.0000278547393642</v>
      </c>
    </row>
    <row r="19" spans="1:22" x14ac:dyDescent="0.25">
      <c r="A19" t="s">
        <v>44</v>
      </c>
      <c r="B19" s="7">
        <f>-CO2排放量!K32*100</f>
        <v>-64496.546772666661</v>
      </c>
      <c r="C19" s="7">
        <f>就业人口!K32</f>
        <v>4750.8999999999996</v>
      </c>
      <c r="D19" s="7">
        <f>资本存量!K32</f>
        <v>287306.71172170318</v>
      </c>
      <c r="E19" s="7">
        <f>能源消耗量!L32</f>
        <v>31635.200000000001</v>
      </c>
      <c r="F19" s="7">
        <f t="shared" si="0"/>
        <v>157704.09677266667</v>
      </c>
      <c r="G19" s="7">
        <f t="shared" si="1"/>
        <v>22571050.809999995</v>
      </c>
      <c r="H19" s="7">
        <f t="shared" si="2"/>
        <v>82545146600.33786</v>
      </c>
      <c r="I19" s="7">
        <f t="shared" si="3"/>
        <v>1000785879.0400001</v>
      </c>
      <c r="J19" s="7">
        <f t="shared" si="4"/>
        <v>1364965456.7186396</v>
      </c>
      <c r="K19" s="7">
        <f t="shared" si="5"/>
        <v>150295671.67999998</v>
      </c>
      <c r="L19" s="7">
        <f t="shared" si="6"/>
        <v>9089005286.6584244</v>
      </c>
      <c r="M19" s="7">
        <f t="shared" si="10"/>
        <v>24870582138.882614</v>
      </c>
      <c r="N19" s="7">
        <f t="shared" si="7"/>
        <v>749236393.35726202</v>
      </c>
      <c r="O19" s="7">
        <f t="shared" si="8"/>
        <v>45309445468.796127</v>
      </c>
      <c r="P19" s="7">
        <f t="shared" si="9"/>
        <v>4989000642.2226648</v>
      </c>
      <c r="Q19">
        <v>2</v>
      </c>
      <c r="R19">
        <v>8</v>
      </c>
      <c r="S19">
        <f>GDP!K32</f>
        <v>93207.55</v>
      </c>
      <c r="U19" s="9" t="s">
        <v>118</v>
      </c>
      <c r="V19">
        <f t="shared" si="11"/>
        <v>-1.0000214739342079</v>
      </c>
    </row>
    <row r="20" spans="1:22" x14ac:dyDescent="0.25">
      <c r="A20" t="s">
        <v>45</v>
      </c>
      <c r="B20" s="7">
        <f>-CO2排放量!K33*100</f>
        <v>-63658.204858666671</v>
      </c>
      <c r="C20" s="7">
        <f>就业人口!K33</f>
        <v>4745.2000000000007</v>
      </c>
      <c r="D20" s="7">
        <f>资本存量!K33</f>
        <v>318492.16524546966</v>
      </c>
      <c r="E20" s="7">
        <f>能源消耗量!L33</f>
        <v>32525.97</v>
      </c>
      <c r="F20" s="7">
        <f t="shared" si="0"/>
        <v>163289.72485866668</v>
      </c>
      <c r="G20" s="7">
        <f t="shared" si="1"/>
        <v>22516923.040000007</v>
      </c>
      <c r="H20" s="7">
        <f t="shared" si="2"/>
        <v>101437259322.74756</v>
      </c>
      <c r="I20" s="7">
        <f t="shared" si="3"/>
        <v>1057938724.4409001</v>
      </c>
      <c r="J20" s="7">
        <f t="shared" si="4"/>
        <v>1511309022.5228028</v>
      </c>
      <c r="K20" s="7">
        <f t="shared" si="5"/>
        <v>154342232.84400004</v>
      </c>
      <c r="L20" s="7">
        <f t="shared" si="6"/>
        <v>10359266612.00919</v>
      </c>
      <c r="M20" s="7">
        <f t="shared" si="10"/>
        <v>26663534244.419067</v>
      </c>
      <c r="N20" s="7">
        <f t="shared" si="7"/>
        <v>774842402.39934528</v>
      </c>
      <c r="O20" s="7">
        <f t="shared" si="8"/>
        <v>52006498032.573746</v>
      </c>
      <c r="P20" s="7">
        <f t="shared" si="9"/>
        <v>5311156692.0612469</v>
      </c>
      <c r="Q20">
        <v>2</v>
      </c>
      <c r="R20">
        <v>9</v>
      </c>
      <c r="S20">
        <f>GDP!K33</f>
        <v>99631.52</v>
      </c>
      <c r="U20">
        <f>U10</f>
        <v>0.49392809999999998</v>
      </c>
      <c r="V20">
        <f t="shared" si="11"/>
        <v>-1.0000171629224521</v>
      </c>
    </row>
    <row r="21" spans="1:22" x14ac:dyDescent="0.25">
      <c r="A21" t="s">
        <v>46</v>
      </c>
      <c r="B21" s="7">
        <f>-CO2排放量!K34*100</f>
        <v>-62806.252813333333</v>
      </c>
      <c r="C21" s="7">
        <f>就业人口!K34</f>
        <v>4893</v>
      </c>
      <c r="D21" s="7">
        <f>资本存量!K34</f>
        <v>346860.11592450168</v>
      </c>
      <c r="E21" s="7">
        <f>能源消耗量!L34</f>
        <v>32672.49</v>
      </c>
      <c r="F21" s="7">
        <f t="shared" si="0"/>
        <v>165525.23281333334</v>
      </c>
      <c r="G21" s="7">
        <f t="shared" si="1"/>
        <v>23941449</v>
      </c>
      <c r="H21" s="7">
        <f t="shared" si="2"/>
        <v>120311940019.15874</v>
      </c>
      <c r="I21" s="7">
        <f t="shared" si="3"/>
        <v>1067491602.8001001</v>
      </c>
      <c r="J21" s="7">
        <f t="shared" si="4"/>
        <v>1697186547.2185867</v>
      </c>
      <c r="K21" s="7">
        <f t="shared" si="5"/>
        <v>159866493.57000002</v>
      </c>
      <c r="L21" s="7">
        <f t="shared" si="6"/>
        <v>11332783668.942122</v>
      </c>
      <c r="M21" s="7">
        <f t="shared" si="10"/>
        <v>27398602697.908203</v>
      </c>
      <c r="N21" s="7">
        <f t="shared" si="7"/>
        <v>809914964.15564001</v>
      </c>
      <c r="O21" s="7">
        <f t="shared" si="8"/>
        <v>57414101442.062927</v>
      </c>
      <c r="P21" s="7">
        <f t="shared" si="9"/>
        <v>5408121513.8413057</v>
      </c>
      <c r="Q21">
        <v>2</v>
      </c>
      <c r="R21">
        <v>10</v>
      </c>
      <c r="S21">
        <f>GDP!K34</f>
        <v>102718.98</v>
      </c>
      <c r="U21" s="9" t="s">
        <v>119</v>
      </c>
      <c r="V21">
        <f t="shared" si="11"/>
        <v>-1.0000140656655738</v>
      </c>
    </row>
    <row r="22" spans="1:22" x14ac:dyDescent="0.25">
      <c r="A22" t="s">
        <v>47</v>
      </c>
      <c r="B22" s="7">
        <f>-CO2排放量!K35*100</f>
        <v>-39862.266100000001</v>
      </c>
      <c r="C22" s="7">
        <f>就业人口!K35</f>
        <v>3385</v>
      </c>
      <c r="D22" s="7">
        <f>资本存量!K35</f>
        <v>48084.568699807249</v>
      </c>
      <c r="E22" s="7">
        <f>能源消耗量!L35</f>
        <v>17827.27</v>
      </c>
      <c r="F22" s="7">
        <f t="shared" si="0"/>
        <v>72181.116099999999</v>
      </c>
      <c r="G22" s="7">
        <f t="shared" si="1"/>
        <v>11458225</v>
      </c>
      <c r="H22" s="7">
        <f t="shared" si="2"/>
        <v>2312125747.046483</v>
      </c>
      <c r="I22" s="7">
        <f t="shared" si="3"/>
        <v>317811555.65290004</v>
      </c>
      <c r="J22" s="7">
        <f t="shared" si="4"/>
        <v>162766265.04884753</v>
      </c>
      <c r="K22" s="7">
        <f t="shared" si="5"/>
        <v>60345308.950000003</v>
      </c>
      <c r="L22" s="7">
        <f t="shared" si="6"/>
        <v>857216589.04501283</v>
      </c>
      <c r="M22" s="7">
        <f t="shared" si="10"/>
        <v>5210113521.441679</v>
      </c>
      <c r="N22" s="7">
        <f t="shared" si="7"/>
        <v>244333077.99849999</v>
      </c>
      <c r="O22" s="7">
        <f t="shared" si="8"/>
        <v>3470797835.9392128</v>
      </c>
      <c r="P22" s="7">
        <f t="shared" si="9"/>
        <v>1286792245.6160469</v>
      </c>
      <c r="Q22">
        <v>3</v>
      </c>
      <c r="R22">
        <v>1</v>
      </c>
      <c r="S22">
        <f>GDP!K35</f>
        <v>32318.85</v>
      </c>
      <c r="U22">
        <f>U12</f>
        <v>-4.2995499999999999E-2</v>
      </c>
      <c r="V22">
        <f t="shared" si="11"/>
        <v>-0.99994339937401355</v>
      </c>
    </row>
    <row r="23" spans="1:22" x14ac:dyDescent="0.25">
      <c r="A23" t="s">
        <v>48</v>
      </c>
      <c r="B23" s="7">
        <f>-CO2排放量!K36*100</f>
        <v>-38359.345537800007</v>
      </c>
      <c r="C23" s="7">
        <f>就业人口!K36</f>
        <v>3407</v>
      </c>
      <c r="D23" s="7">
        <f>资本存量!K36</f>
        <v>60564.410104625757</v>
      </c>
      <c r="E23" s="7">
        <f>能源消耗量!L36</f>
        <v>18076.18</v>
      </c>
      <c r="F23" s="7">
        <f t="shared" si="0"/>
        <v>73024.675537800009</v>
      </c>
      <c r="G23" s="7">
        <f t="shared" si="1"/>
        <v>11607649</v>
      </c>
      <c r="H23" s="7">
        <f t="shared" si="2"/>
        <v>3668047771.3212943</v>
      </c>
      <c r="I23" s="7">
        <f t="shared" si="3"/>
        <v>326748283.39240003</v>
      </c>
      <c r="J23" s="7">
        <f t="shared" si="4"/>
        <v>206342945.22645995</v>
      </c>
      <c r="K23" s="7">
        <f t="shared" si="5"/>
        <v>61585545.259999998</v>
      </c>
      <c r="L23" s="7">
        <f t="shared" si="6"/>
        <v>1094773178.6450341</v>
      </c>
      <c r="M23" s="7">
        <f t="shared" si="10"/>
        <v>5332603237.4009666</v>
      </c>
      <c r="N23" s="7">
        <f t="shared" si="7"/>
        <v>248795069.55728462</v>
      </c>
      <c r="O23" s="7">
        <f t="shared" si="8"/>
        <v>4422696397.0285521</v>
      </c>
      <c r="P23" s="7">
        <f t="shared" si="9"/>
        <v>1320007179.4628699</v>
      </c>
      <c r="Q23">
        <v>3</v>
      </c>
      <c r="R23">
        <v>2</v>
      </c>
      <c r="S23">
        <f>GDP!K36</f>
        <v>34665.33</v>
      </c>
      <c r="V23">
        <f t="shared" si="11"/>
        <v>-0.99991683021297084</v>
      </c>
    </row>
    <row r="24" spans="1:22" x14ac:dyDescent="0.25">
      <c r="A24" t="s">
        <v>49</v>
      </c>
      <c r="B24" s="7">
        <f>-CO2排放量!K37*100</f>
        <v>-38756.092082666662</v>
      </c>
      <c r="C24" s="7">
        <f>就业人口!K37</f>
        <v>3436</v>
      </c>
      <c r="D24" s="7">
        <f>资本存量!K37</f>
        <v>74944.296734581687</v>
      </c>
      <c r="E24" s="7">
        <f>能源消耗量!L37</f>
        <v>18640</v>
      </c>
      <c r="F24" s="7">
        <f t="shared" si="0"/>
        <v>76512.672082666657</v>
      </c>
      <c r="G24" s="7">
        <f t="shared" si="1"/>
        <v>11806096</v>
      </c>
      <c r="H24" s="7">
        <f t="shared" si="2"/>
        <v>5616647613.0410309</v>
      </c>
      <c r="I24" s="7">
        <f t="shared" si="3"/>
        <v>347449600</v>
      </c>
      <c r="J24" s="7">
        <f t="shared" si="4"/>
        <v>257508603.58002266</v>
      </c>
      <c r="K24" s="7">
        <f t="shared" si="5"/>
        <v>64047040</v>
      </c>
      <c r="L24" s="7">
        <f t="shared" si="6"/>
        <v>1396961691.1326027</v>
      </c>
      <c r="M24" s="7">
        <f t="shared" si="10"/>
        <v>5854188989.2296772</v>
      </c>
      <c r="N24" s="7">
        <f t="shared" si="7"/>
        <v>262897541.27604264</v>
      </c>
      <c r="O24" s="7">
        <f t="shared" si="8"/>
        <v>5734188400.5191145</v>
      </c>
      <c r="P24" s="7">
        <f t="shared" si="9"/>
        <v>1426196207.6209066</v>
      </c>
      <c r="Q24">
        <v>3</v>
      </c>
      <c r="R24">
        <v>3</v>
      </c>
      <c r="S24">
        <f>GDP!K37</f>
        <v>37756.58</v>
      </c>
      <c r="V24">
        <f t="shared" si="11"/>
        <v>-0.99986057404153628</v>
      </c>
    </row>
    <row r="25" spans="1:22" x14ac:dyDescent="0.25">
      <c r="A25" t="s">
        <v>50</v>
      </c>
      <c r="B25" s="7">
        <f>-CO2排放量!K38*100</f>
        <v>-38079.470165488332</v>
      </c>
      <c r="C25" s="7">
        <f>就业人口!K38</f>
        <v>3459</v>
      </c>
      <c r="D25" s="7">
        <f>资本存量!K38</f>
        <v>91304.404248061837</v>
      </c>
      <c r="E25" s="7">
        <f>能源消耗量!L38</f>
        <v>18826</v>
      </c>
      <c r="F25" s="7">
        <f t="shared" si="0"/>
        <v>78252.500165488338</v>
      </c>
      <c r="G25" s="7">
        <f t="shared" si="1"/>
        <v>11964681</v>
      </c>
      <c r="H25" s="7">
        <f t="shared" si="2"/>
        <v>8336494235.0934925</v>
      </c>
      <c r="I25" s="7">
        <f t="shared" si="3"/>
        <v>354418276</v>
      </c>
      <c r="J25" s="7">
        <f t="shared" si="4"/>
        <v>315821934.29404587</v>
      </c>
      <c r="K25" s="7">
        <f t="shared" si="5"/>
        <v>65119134</v>
      </c>
      <c r="L25" s="7">
        <f t="shared" si="6"/>
        <v>1718896714.3740122</v>
      </c>
      <c r="M25" s="7">
        <f t="shared" si="10"/>
        <v>6123453782.1497526</v>
      </c>
      <c r="N25" s="7">
        <f t="shared" si="7"/>
        <v>270675398.07242417</v>
      </c>
      <c r="O25" s="7">
        <f t="shared" si="8"/>
        <v>7144797908.5312729</v>
      </c>
      <c r="P25" s="7">
        <f t="shared" si="9"/>
        <v>1473181568.1154835</v>
      </c>
      <c r="Q25">
        <v>3</v>
      </c>
      <c r="R25">
        <v>4</v>
      </c>
      <c r="S25">
        <f>GDP!K38</f>
        <v>40173.03</v>
      </c>
      <c r="V25">
        <f t="shared" si="11"/>
        <v>-0.99483934154093234</v>
      </c>
    </row>
    <row r="26" spans="1:22" x14ac:dyDescent="0.25">
      <c r="A26" t="s">
        <v>51</v>
      </c>
      <c r="B26" s="7">
        <f>-CO2排放量!K39*100</f>
        <v>-38150.131998000004</v>
      </c>
      <c r="C26" s="7">
        <f>就业人口!K39</f>
        <v>3505</v>
      </c>
      <c r="D26" s="7">
        <f>资本存量!K39</f>
        <v>109203.90144024791</v>
      </c>
      <c r="E26" s="7">
        <f>能源消耗量!L39</f>
        <v>19610</v>
      </c>
      <c r="F26" s="7">
        <f t="shared" si="0"/>
        <v>81036.621998000002</v>
      </c>
      <c r="G26" s="7">
        <f t="shared" si="1"/>
        <v>12285025</v>
      </c>
      <c r="H26" s="7">
        <f t="shared" si="2"/>
        <v>11925492089.771379</v>
      </c>
      <c r="I26" s="7">
        <f t="shared" si="3"/>
        <v>384552100</v>
      </c>
      <c r="J26" s="7">
        <f t="shared" si="4"/>
        <v>382759674.54806894</v>
      </c>
      <c r="K26" s="7">
        <f t="shared" si="5"/>
        <v>68733050</v>
      </c>
      <c r="L26" s="7">
        <f t="shared" si="6"/>
        <v>2141488507.2432616</v>
      </c>
      <c r="M26" s="7">
        <f t="shared" si="10"/>
        <v>6566934104.8467379</v>
      </c>
      <c r="N26" s="7">
        <f t="shared" si="7"/>
        <v>284033360.10299003</v>
      </c>
      <c r="O26" s="7">
        <f t="shared" si="8"/>
        <v>8849515281.7202187</v>
      </c>
      <c r="P26" s="7">
        <f t="shared" si="9"/>
        <v>1589128157.38078</v>
      </c>
      <c r="Q26">
        <v>3</v>
      </c>
      <c r="R26">
        <v>5</v>
      </c>
      <c r="S26">
        <f>GDP!K39</f>
        <v>42886.49</v>
      </c>
      <c r="V26">
        <f t="shared" si="11"/>
        <v>-1.0001453384198911</v>
      </c>
    </row>
    <row r="27" spans="1:22" x14ac:dyDescent="0.25">
      <c r="A27" t="s">
        <v>52</v>
      </c>
      <c r="B27" s="7">
        <f>-CO2排放量!K40*100</f>
        <v>-37917.653735279637</v>
      </c>
      <c r="C27" s="7">
        <f>就业人口!K40</f>
        <v>3552</v>
      </c>
      <c r="D27" s="7">
        <f>资本存量!K40</f>
        <v>128291.32690198411</v>
      </c>
      <c r="E27" s="7">
        <f>能源消耗量!L40</f>
        <v>20275.599999999999</v>
      </c>
      <c r="F27" s="7">
        <f t="shared" si="0"/>
        <v>85169.013735279645</v>
      </c>
      <c r="G27" s="7">
        <f t="shared" si="1"/>
        <v>12616704</v>
      </c>
      <c r="H27" s="7">
        <f t="shared" si="2"/>
        <v>16458664558.271751</v>
      </c>
      <c r="I27" s="7">
        <f t="shared" si="3"/>
        <v>411099955.35999995</v>
      </c>
      <c r="J27" s="7">
        <f t="shared" si="4"/>
        <v>455690793.15584755</v>
      </c>
      <c r="K27" s="7">
        <f t="shared" si="5"/>
        <v>72018931.199999988</v>
      </c>
      <c r="L27" s="7">
        <f t="shared" si="6"/>
        <v>2601183627.7338686</v>
      </c>
      <c r="M27" s="7">
        <f t="shared" si="10"/>
        <v>7253760900.6402531</v>
      </c>
      <c r="N27" s="7">
        <f t="shared" si="7"/>
        <v>302520336.78771329</v>
      </c>
      <c r="O27" s="7">
        <f t="shared" si="8"/>
        <v>10926445783.032335</v>
      </c>
      <c r="P27" s="7">
        <f t="shared" si="9"/>
        <v>1726852854.8910358</v>
      </c>
      <c r="Q27">
        <v>3</v>
      </c>
      <c r="R27">
        <v>6</v>
      </c>
      <c r="S27">
        <f>GDP!K40</f>
        <v>47251.360000000001</v>
      </c>
      <c r="V27">
        <f t="shared" si="11"/>
        <v>-1.0000731751634602</v>
      </c>
    </row>
    <row r="28" spans="1:22" x14ac:dyDescent="0.25">
      <c r="A28" t="s">
        <v>53</v>
      </c>
      <c r="B28" s="7">
        <f>-CO2排放量!K41*100</f>
        <v>-40144.067626406999</v>
      </c>
      <c r="C28" s="7">
        <f>就业人口!K41</f>
        <v>3613</v>
      </c>
      <c r="D28" s="7">
        <f>资本存量!K41</f>
        <v>147101.34951939364</v>
      </c>
      <c r="E28" s="7">
        <f>能源消耗量!L41</f>
        <v>21030.01</v>
      </c>
      <c r="F28" s="7">
        <f t="shared" si="0"/>
        <v>91912.327626407001</v>
      </c>
      <c r="G28" s="7">
        <f t="shared" si="1"/>
        <v>13053769</v>
      </c>
      <c r="H28" s="7">
        <f t="shared" si="2"/>
        <v>21638807030.426811</v>
      </c>
      <c r="I28" s="7">
        <f t="shared" si="3"/>
        <v>442261320.60009992</v>
      </c>
      <c r="J28" s="7">
        <f t="shared" si="4"/>
        <v>531477175.81356925</v>
      </c>
      <c r="K28" s="7">
        <f t="shared" si="5"/>
        <v>75981426.129999995</v>
      </c>
      <c r="L28" s="7">
        <f t="shared" si="6"/>
        <v>3093542851.406343</v>
      </c>
      <c r="M28" s="7">
        <f t="shared" si="10"/>
        <v>8447875969.7039795</v>
      </c>
      <c r="N28" s="7">
        <f t="shared" si="7"/>
        <v>332079239.71420848</v>
      </c>
      <c r="O28" s="7">
        <f t="shared" si="8"/>
        <v>13520427431.313116</v>
      </c>
      <c r="P28" s="7">
        <f t="shared" si="9"/>
        <v>1932917169.1066153</v>
      </c>
      <c r="Q28">
        <v>3</v>
      </c>
      <c r="R28">
        <v>7</v>
      </c>
      <c r="S28">
        <f>GDP!K41</f>
        <v>51768.26</v>
      </c>
      <c r="V28">
        <f t="shared" si="11"/>
        <v>-1.000053681847227</v>
      </c>
    </row>
    <row r="29" spans="1:22" x14ac:dyDescent="0.25">
      <c r="A29" t="s">
        <v>54</v>
      </c>
      <c r="B29" s="7">
        <f>-CO2排放量!K42*100</f>
        <v>-40165.882535999997</v>
      </c>
      <c r="C29" s="7">
        <f>就业人口!K42</f>
        <v>3691</v>
      </c>
      <c r="D29" s="7">
        <f>资本存量!K42</f>
        <v>166315.55525553186</v>
      </c>
      <c r="E29" s="7">
        <f>能源消耗量!L42</f>
        <v>21674.560000000001</v>
      </c>
      <c r="F29" s="7">
        <f t="shared" si="0"/>
        <v>98168.88253599999</v>
      </c>
      <c r="G29" s="7">
        <f t="shared" si="1"/>
        <v>13623481</v>
      </c>
      <c r="H29" s="7">
        <f t="shared" si="2"/>
        <v>27660863919.955872</v>
      </c>
      <c r="I29" s="7">
        <f t="shared" si="3"/>
        <v>469786551.19360006</v>
      </c>
      <c r="J29" s="7">
        <f t="shared" si="4"/>
        <v>613870714.44816804</v>
      </c>
      <c r="K29" s="7">
        <f t="shared" si="5"/>
        <v>80000800.960000008</v>
      </c>
      <c r="L29" s="7">
        <f t="shared" si="6"/>
        <v>3604816481.3193407</v>
      </c>
      <c r="M29" s="7">
        <f t="shared" si="10"/>
        <v>9637129498.3669643</v>
      </c>
      <c r="N29" s="7">
        <f t="shared" si="7"/>
        <v>362341345.44037598</v>
      </c>
      <c r="O29" s="7">
        <f t="shared" si="8"/>
        <v>16327012207.789923</v>
      </c>
      <c r="P29" s="7">
        <f t="shared" si="9"/>
        <v>2127767334.6594841</v>
      </c>
      <c r="Q29">
        <v>3</v>
      </c>
      <c r="R29">
        <v>8</v>
      </c>
      <c r="S29">
        <f>GDP!K42</f>
        <v>58003</v>
      </c>
      <c r="V29">
        <f t="shared" si="11"/>
        <v>-1.0000414132075552</v>
      </c>
    </row>
    <row r="30" spans="1:22" x14ac:dyDescent="0.25">
      <c r="A30" t="s">
        <v>55</v>
      </c>
      <c r="B30" s="7">
        <f>-CO2排放量!K43*100</f>
        <v>-41914.662583999998</v>
      </c>
      <c r="C30" s="7">
        <f>就业人口!K43</f>
        <v>3771</v>
      </c>
      <c r="D30" s="7">
        <f>资本存量!K43</f>
        <v>187052.12670529081</v>
      </c>
      <c r="E30" s="7">
        <f>能源消耗量!L43</f>
        <v>22393</v>
      </c>
      <c r="F30" s="7">
        <f t="shared" si="0"/>
        <v>104266.402584</v>
      </c>
      <c r="G30" s="7">
        <f t="shared" si="1"/>
        <v>14220441</v>
      </c>
      <c r="H30" s="7">
        <f t="shared" si="2"/>
        <v>34988498104.972168</v>
      </c>
      <c r="I30" s="7">
        <f t="shared" si="3"/>
        <v>501446449</v>
      </c>
      <c r="J30" s="7">
        <f t="shared" si="4"/>
        <v>705373569.80565166</v>
      </c>
      <c r="K30" s="7">
        <f t="shared" si="5"/>
        <v>84444003</v>
      </c>
      <c r="L30" s="7">
        <f t="shared" si="6"/>
        <v>4188658273.3115768</v>
      </c>
      <c r="M30" s="7">
        <f t="shared" si="10"/>
        <v>10871482707.808762</v>
      </c>
      <c r="N30" s="7">
        <f t="shared" si="7"/>
        <v>393188604.14426398</v>
      </c>
      <c r="O30" s="7">
        <f t="shared" si="8"/>
        <v>19503252347.247227</v>
      </c>
      <c r="P30" s="7">
        <f t="shared" si="9"/>
        <v>2334837553.0635118</v>
      </c>
      <c r="Q30">
        <v>3</v>
      </c>
      <c r="R30">
        <v>9</v>
      </c>
      <c r="S30">
        <f>GDP!K43</f>
        <v>62351.74</v>
      </c>
      <c r="V30">
        <f t="shared" si="11"/>
        <v>-1.0000327629498245</v>
      </c>
    </row>
    <row r="31" spans="1:22" x14ac:dyDescent="0.25">
      <c r="A31" t="s">
        <v>56</v>
      </c>
      <c r="B31" s="7">
        <f>-CO2排放量!K44*100</f>
        <v>-45455.451226666664</v>
      </c>
      <c r="C31" s="7">
        <f>就业人口!K44</f>
        <v>3857</v>
      </c>
      <c r="D31" s="7">
        <f>资本存量!K44</f>
        <v>207779.94199260455</v>
      </c>
      <c r="E31" s="7">
        <f>能源消耗量!L44</f>
        <v>24660</v>
      </c>
      <c r="F31" s="7">
        <f t="shared" si="0"/>
        <v>110068.79122666665</v>
      </c>
      <c r="G31" s="7">
        <f t="shared" si="1"/>
        <v>14876449</v>
      </c>
      <c r="H31" s="7">
        <f t="shared" si="2"/>
        <v>43172504294.450111</v>
      </c>
      <c r="I31" s="7">
        <f t="shared" si="3"/>
        <v>608115600</v>
      </c>
      <c r="J31" s="7">
        <f t="shared" si="4"/>
        <v>801407236.26547575</v>
      </c>
      <c r="K31" s="7">
        <f t="shared" si="5"/>
        <v>95113620</v>
      </c>
      <c r="L31" s="7">
        <f t="shared" si="6"/>
        <v>5123853369.5376282</v>
      </c>
      <c r="M31" s="7">
        <f t="shared" si="10"/>
        <v>12115138802.099529</v>
      </c>
      <c r="N31" s="7">
        <f t="shared" si="7"/>
        <v>424535327.7612533</v>
      </c>
      <c r="O31" s="7">
        <f t="shared" si="8"/>
        <v>22870087056.2729</v>
      </c>
      <c r="P31" s="7">
        <f t="shared" si="9"/>
        <v>2714296391.6495996</v>
      </c>
      <c r="Q31">
        <v>3</v>
      </c>
      <c r="R31">
        <v>10</v>
      </c>
      <c r="S31">
        <f>GDP!K44</f>
        <v>64613.34</v>
      </c>
      <c r="V31">
        <f t="shared" si="11"/>
        <v>-1.0000270038973109</v>
      </c>
    </row>
    <row r="32" spans="1:22" x14ac:dyDescent="0.25">
      <c r="A32" t="s">
        <v>57</v>
      </c>
      <c r="B32" s="7">
        <f>-CO2排放量!K45*100</f>
        <v>-31538.719418666664</v>
      </c>
      <c r="C32" s="7">
        <f>就业人口!K45</f>
        <v>4120.8999999999996</v>
      </c>
      <c r="D32" s="7">
        <f>资本存量!K45</f>
        <v>39588.917883898524</v>
      </c>
      <c r="E32" s="7">
        <f>能源消耗量!L45</f>
        <v>10570.23</v>
      </c>
      <c r="F32" s="7">
        <f t="shared" si="0"/>
        <v>46839.369418666662</v>
      </c>
      <c r="G32" s="7">
        <f t="shared" si="1"/>
        <v>16981816.809999999</v>
      </c>
      <c r="H32" s="7">
        <f t="shared" si="2"/>
        <v>1567282419.2180605</v>
      </c>
      <c r="I32" s="7">
        <f t="shared" si="3"/>
        <v>111729762.25289999</v>
      </c>
      <c r="J32" s="7">
        <f t="shared" si="4"/>
        <v>163141971.70775741</v>
      </c>
      <c r="K32" s="7">
        <f t="shared" si="5"/>
        <v>43558860.806999996</v>
      </c>
      <c r="L32" s="7">
        <f t="shared" si="6"/>
        <v>418463967.48392069</v>
      </c>
      <c r="M32" s="7">
        <f t="shared" si="10"/>
        <v>2193926527.5383258</v>
      </c>
      <c r="N32" s="7">
        <f t="shared" si="7"/>
        <v>193020357.43738344</v>
      </c>
      <c r="O32" s="7">
        <f t="shared" si="8"/>
        <v>1854319949.6491823</v>
      </c>
      <c r="P32" s="7">
        <f t="shared" si="9"/>
        <v>495102907.81027287</v>
      </c>
      <c r="Q32">
        <v>4</v>
      </c>
      <c r="R32">
        <v>1</v>
      </c>
      <c r="S32">
        <f>GDP!K45</f>
        <v>15300.65</v>
      </c>
      <c r="V32">
        <f t="shared" si="11"/>
        <v>-0.99971639404791179</v>
      </c>
    </row>
    <row r="33" spans="1:22" x14ac:dyDescent="0.25">
      <c r="A33" t="s">
        <v>58</v>
      </c>
      <c r="B33" s="7">
        <f>-CO2排放量!K46*100</f>
        <v>-35590.699673333344</v>
      </c>
      <c r="C33" s="7">
        <f>就业人口!K46</f>
        <v>4206.8</v>
      </c>
      <c r="D33" s="7">
        <f>资本存量!K46</f>
        <v>50843.332767044267</v>
      </c>
      <c r="E33" s="7">
        <f>能源消耗量!L46</f>
        <v>11357.95</v>
      </c>
      <c r="F33" s="7">
        <f t="shared" si="0"/>
        <v>52802.750288333344</v>
      </c>
      <c r="G33" s="7">
        <f t="shared" si="1"/>
        <v>17697166.240000002</v>
      </c>
      <c r="H33" s="7">
        <f t="shared" si="2"/>
        <v>2585044486.8603973</v>
      </c>
      <c r="I33" s="7">
        <f t="shared" si="3"/>
        <v>129003028.20250002</v>
      </c>
      <c r="J33" s="7">
        <f t="shared" si="4"/>
        <v>213887732.28440183</v>
      </c>
      <c r="K33" s="7">
        <f t="shared" si="5"/>
        <v>47780624.060000002</v>
      </c>
      <c r="L33" s="7">
        <f t="shared" si="6"/>
        <v>577476031.40145051</v>
      </c>
      <c r="M33" s="7">
        <f t="shared" si="10"/>
        <v>2788130438.0120869</v>
      </c>
      <c r="N33" s="7">
        <f t="shared" si="7"/>
        <v>222130609.91296071</v>
      </c>
      <c r="O33" s="7">
        <f t="shared" si="8"/>
        <v>2684667803.9248748</v>
      </c>
      <c r="P33" s="7">
        <f t="shared" si="9"/>
        <v>599730997.63737571</v>
      </c>
      <c r="Q33">
        <v>4</v>
      </c>
      <c r="R33">
        <v>2</v>
      </c>
      <c r="S33">
        <f>GDP!K46</f>
        <v>17212.050615</v>
      </c>
      <c r="V33">
        <f t="shared" si="11"/>
        <v>-0.99942455396394225</v>
      </c>
    </row>
    <row r="34" spans="1:22" x14ac:dyDescent="0.25">
      <c r="A34" t="s">
        <v>59</v>
      </c>
      <c r="B34" s="7">
        <f>-CO2排放量!K47*100</f>
        <v>-38718.004041333326</v>
      </c>
      <c r="C34" s="7">
        <f>就业人口!K47</f>
        <v>4275.8999999999996</v>
      </c>
      <c r="D34" s="7">
        <f>资本存量!K47</f>
        <v>64213.49402140802</v>
      </c>
      <c r="E34" s="7">
        <f>能源消耗量!L47</f>
        <v>12060.36</v>
      </c>
      <c r="F34" s="7">
        <f t="shared" ref="F34:F65" si="12">S34-B34</f>
        <v>57947.341141333323</v>
      </c>
      <c r="G34" s="7">
        <f t="shared" ref="G34:G65" si="13">C34*C34</f>
        <v>18283320.809999999</v>
      </c>
      <c r="H34" s="7">
        <f t="shared" ref="H34:H65" si="14">D34*D34</f>
        <v>4123372814.4374037</v>
      </c>
      <c r="I34" s="7">
        <f t="shared" ref="I34:I65" si="15">E34*E34</f>
        <v>145452283.32960001</v>
      </c>
      <c r="J34" s="7">
        <f t="shared" ref="J34:J65" si="16">C34*D34</f>
        <v>274570479.08613855</v>
      </c>
      <c r="K34" s="7">
        <f t="shared" ref="K34:K65" si="17">C34*E34</f>
        <v>51568893.324000001</v>
      </c>
      <c r="L34" s="7">
        <f t="shared" ref="L34:L65" si="18">D34*E34</f>
        <v>774437854.75602841</v>
      </c>
      <c r="M34" s="7">
        <f t="shared" ref="M34:M65" si="19">F34*F34</f>
        <v>3357894345.3500614</v>
      </c>
      <c r="N34" s="7">
        <f t="shared" ref="N34:N65" si="20">C34*F34</f>
        <v>247777035.98622712</v>
      </c>
      <c r="O34" s="7">
        <f t="shared" ref="O34:O65" si="21">D34*F34</f>
        <v>3721001243.9354982</v>
      </c>
      <c r="P34" s="7">
        <f t="shared" ref="P34:P65" si="22">E34*F34</f>
        <v>698865795.20729077</v>
      </c>
      <c r="Q34">
        <v>4</v>
      </c>
      <c r="R34">
        <v>3</v>
      </c>
      <c r="S34">
        <f>GDP!K47</f>
        <v>19229.337100000001</v>
      </c>
      <c r="V34">
        <f t="shared" ref="V34:V65" si="23">-($U$2+$U$4*B34*(-1)+$U$8*C34+$U$10*D34+$U$12*E34+$U$6*S34)/($U$14+$U$16*S34+$U$18*C34+$U$20*D34+$U$22*E34+$U$6*B34*(-1))</f>
        <v>-1.0006240406710358</v>
      </c>
    </row>
    <row r="35" spans="1:22" x14ac:dyDescent="0.25">
      <c r="A35" t="s">
        <v>60</v>
      </c>
      <c r="B35" s="7">
        <f>-CO2排放量!K48*100</f>
        <v>-40179.524150701</v>
      </c>
      <c r="C35" s="7">
        <f>就业人口!K48</f>
        <v>4311</v>
      </c>
      <c r="D35" s="7">
        <f>资本存量!K48</f>
        <v>79305.292495352856</v>
      </c>
      <c r="E35" s="7">
        <f>能源消耗量!L48</f>
        <v>12011.02</v>
      </c>
      <c r="F35" s="7">
        <f t="shared" si="12"/>
        <v>61028.271751701002</v>
      </c>
      <c r="G35" s="7">
        <f t="shared" si="13"/>
        <v>18584721</v>
      </c>
      <c r="H35" s="7">
        <f t="shared" si="14"/>
        <v>6289329417.7734699</v>
      </c>
      <c r="I35" s="7">
        <f t="shared" si="15"/>
        <v>144264601.4404</v>
      </c>
      <c r="J35" s="7">
        <f t="shared" si="16"/>
        <v>341885115.94746614</v>
      </c>
      <c r="K35" s="7">
        <f t="shared" si="17"/>
        <v>51779507.219999999</v>
      </c>
      <c r="L35" s="7">
        <f t="shared" si="18"/>
        <v>952537454.26753306</v>
      </c>
      <c r="M35" s="7">
        <f t="shared" si="19"/>
        <v>3724449952.9994664</v>
      </c>
      <c r="N35" s="7">
        <f t="shared" si="20"/>
        <v>263092879.52158302</v>
      </c>
      <c r="O35" s="7">
        <f t="shared" si="21"/>
        <v>4839864941.754528</v>
      </c>
      <c r="P35" s="7">
        <f t="shared" si="22"/>
        <v>733011792.5751158</v>
      </c>
      <c r="Q35">
        <v>4</v>
      </c>
      <c r="R35">
        <v>4</v>
      </c>
      <c r="S35">
        <f>GDP!K48</f>
        <v>20848.747600999999</v>
      </c>
      <c r="V35">
        <f t="shared" si="23"/>
        <v>-1.0001406433117104</v>
      </c>
    </row>
    <row r="36" spans="1:22" x14ac:dyDescent="0.25">
      <c r="A36" t="s">
        <v>61</v>
      </c>
      <c r="B36" s="7">
        <f>-CO2排放量!K49*100</f>
        <v>-39284.829542666659</v>
      </c>
      <c r="C36" s="7">
        <f>就业人口!K49</f>
        <v>4342.1000000000004</v>
      </c>
      <c r="D36" s="7">
        <f>资本存量!K49</f>
        <v>95657.535915798988</v>
      </c>
      <c r="E36" s="7">
        <f>能源消耗量!L49</f>
        <v>12301.23</v>
      </c>
      <c r="F36" s="7">
        <f t="shared" si="12"/>
        <v>61290.459542666664</v>
      </c>
      <c r="G36" s="7">
        <f t="shared" si="13"/>
        <v>18853832.410000004</v>
      </c>
      <c r="H36" s="7">
        <f t="shared" si="14"/>
        <v>9150364177.4823742</v>
      </c>
      <c r="I36" s="7">
        <f t="shared" si="15"/>
        <v>151320259.51289999</v>
      </c>
      <c r="J36" s="7">
        <f t="shared" si="16"/>
        <v>415354586.69999081</v>
      </c>
      <c r="K36" s="7">
        <f t="shared" si="17"/>
        <v>53413170.783</v>
      </c>
      <c r="L36" s="7">
        <f t="shared" si="18"/>
        <v>1176705350.533504</v>
      </c>
      <c r="M36" s="7">
        <f t="shared" si="19"/>
        <v>3756520430.9512591</v>
      </c>
      <c r="N36" s="7">
        <f t="shared" si="20"/>
        <v>266129304.38021293</v>
      </c>
      <c r="O36" s="7">
        <f t="shared" si="21"/>
        <v>5862894334.9984608</v>
      </c>
      <c r="P36" s="7">
        <f t="shared" si="22"/>
        <v>753948039.64003742</v>
      </c>
      <c r="Q36">
        <v>4</v>
      </c>
      <c r="R36">
        <v>5</v>
      </c>
      <c r="S36">
        <f>GDP!K49</f>
        <v>22005.63</v>
      </c>
      <c r="V36">
        <f t="shared" si="23"/>
        <v>-1.0000663855725924</v>
      </c>
    </row>
    <row r="37" spans="1:22" x14ac:dyDescent="0.25">
      <c r="A37" t="s">
        <v>62</v>
      </c>
      <c r="B37" s="7">
        <f>-CO2排放量!K50*100</f>
        <v>-38017.731468180871</v>
      </c>
      <c r="C37" s="7">
        <f>就业人口!K50</f>
        <v>4361.6000000000004</v>
      </c>
      <c r="D37" s="7">
        <f>资本存量!K50</f>
        <v>113232.52396788228</v>
      </c>
      <c r="E37" s="7">
        <f>能源消耗量!L50</f>
        <v>12662.89</v>
      </c>
      <c r="F37" s="7">
        <f t="shared" si="12"/>
        <v>62425.351468180874</v>
      </c>
      <c r="G37" s="7">
        <f t="shared" si="13"/>
        <v>19023554.560000002</v>
      </c>
      <c r="H37" s="7">
        <f t="shared" si="14"/>
        <v>12821604484.137035</v>
      </c>
      <c r="I37" s="7">
        <f t="shared" si="15"/>
        <v>160348783.1521</v>
      </c>
      <c r="J37" s="7">
        <f t="shared" si="16"/>
        <v>493874976.53831542</v>
      </c>
      <c r="K37" s="7">
        <f t="shared" si="17"/>
        <v>55230461.024000004</v>
      </c>
      <c r="L37" s="7">
        <f t="shared" si="18"/>
        <v>1433850995.4276569</v>
      </c>
      <c r="M37" s="7">
        <f t="shared" si="19"/>
        <v>3896924505.9259119</v>
      </c>
      <c r="N37" s="7">
        <f t="shared" si="20"/>
        <v>272274412.96361774</v>
      </c>
      <c r="O37" s="7">
        <f t="shared" si="21"/>
        <v>7068580106.3242664</v>
      </c>
      <c r="P37" s="7">
        <f t="shared" si="22"/>
        <v>790485358.8529129</v>
      </c>
      <c r="Q37">
        <v>4</v>
      </c>
      <c r="R37">
        <v>6</v>
      </c>
      <c r="S37">
        <f>GDP!K50</f>
        <v>24407.62</v>
      </c>
      <c r="V37">
        <f t="shared" si="23"/>
        <v>-1.0000434334197601</v>
      </c>
    </row>
    <row r="38" spans="1:22" x14ac:dyDescent="0.25">
      <c r="A38" t="s">
        <v>63</v>
      </c>
      <c r="B38" s="7">
        <f>-CO2排放量!K51*100</f>
        <v>-39701.638282836917</v>
      </c>
      <c r="C38" s="7">
        <f>就业人口!K51</f>
        <v>4377.8999999999996</v>
      </c>
      <c r="D38" s="7">
        <f>资本存量!K51</f>
        <v>131548.15806696558</v>
      </c>
      <c r="E38" s="7">
        <f>能源消耗量!L51</f>
        <v>13018.71</v>
      </c>
      <c r="F38" s="7">
        <f t="shared" si="12"/>
        <v>66719.63828283691</v>
      </c>
      <c r="G38" s="7">
        <f t="shared" si="13"/>
        <v>19166008.409999996</v>
      </c>
      <c r="H38" s="7">
        <f t="shared" si="14"/>
        <v>17304917890.811363</v>
      </c>
      <c r="I38" s="7">
        <f t="shared" si="15"/>
        <v>169486810.06409997</v>
      </c>
      <c r="J38" s="7">
        <f t="shared" si="16"/>
        <v>575904681.20136857</v>
      </c>
      <c r="K38" s="7">
        <f t="shared" si="17"/>
        <v>56994610.508999988</v>
      </c>
      <c r="L38" s="7">
        <f t="shared" si="18"/>
        <v>1712587320.9079854</v>
      </c>
      <c r="M38" s="7">
        <f t="shared" si="19"/>
        <v>4451510132.5925961</v>
      </c>
      <c r="N38" s="7">
        <f t="shared" si="20"/>
        <v>292091904.43843168</v>
      </c>
      <c r="O38" s="7">
        <f t="shared" si="21"/>
        <v>8776845523.0013981</v>
      </c>
      <c r="P38" s="7">
        <f t="shared" si="22"/>
        <v>868603622.1091516</v>
      </c>
      <c r="Q38">
        <v>4</v>
      </c>
      <c r="R38">
        <v>7</v>
      </c>
      <c r="S38">
        <f>GDP!K51</f>
        <v>27018</v>
      </c>
      <c r="V38">
        <f t="shared" si="23"/>
        <v>-1.0000341584188019</v>
      </c>
    </row>
    <row r="39" spans="1:22" x14ac:dyDescent="0.25">
      <c r="A39" t="s">
        <v>64</v>
      </c>
      <c r="B39" s="7">
        <f>-CO2排放量!K52*100</f>
        <v>-39242.850410666666</v>
      </c>
      <c r="C39" s="7">
        <f>就业人口!K52</f>
        <v>4385.2999999999993</v>
      </c>
      <c r="D39" s="7">
        <f>资本存量!K52</f>
        <v>151549.4341477369</v>
      </c>
      <c r="E39" s="7">
        <f>能源消耗量!L52</f>
        <v>13294.71</v>
      </c>
      <c r="F39" s="7">
        <f t="shared" si="12"/>
        <v>73253.75041066666</v>
      </c>
      <c r="G39" s="7">
        <f t="shared" si="13"/>
        <v>19230856.089999992</v>
      </c>
      <c r="H39" s="7">
        <f t="shared" si="14"/>
        <v>22967230990.499245</v>
      </c>
      <c r="I39" s="7">
        <f t="shared" si="15"/>
        <v>176749313.98409998</v>
      </c>
      <c r="J39" s="7">
        <f t="shared" si="16"/>
        <v>664589733.56807053</v>
      </c>
      <c r="K39" s="7">
        <f t="shared" si="17"/>
        <v>58301291.762999989</v>
      </c>
      <c r="L39" s="7">
        <f t="shared" si="18"/>
        <v>2014805777.6582592</v>
      </c>
      <c r="M39" s="7">
        <f t="shared" si="19"/>
        <v>5366111949.2282457</v>
      </c>
      <c r="N39" s="7">
        <f t="shared" si="20"/>
        <v>321239671.67589647</v>
      </c>
      <c r="O39" s="7">
        <f t="shared" si="21"/>
        <v>11101564423.936083</v>
      </c>
      <c r="P39" s="7">
        <f t="shared" si="22"/>
        <v>973887368.12219405</v>
      </c>
      <c r="Q39">
        <v>4</v>
      </c>
      <c r="R39">
        <v>8</v>
      </c>
      <c r="S39">
        <f>GDP!K52</f>
        <v>34010.9</v>
      </c>
      <c r="V39">
        <f t="shared" si="23"/>
        <v>-1.0000286703592298</v>
      </c>
    </row>
    <row r="40" spans="1:22" x14ac:dyDescent="0.25">
      <c r="A40" t="s">
        <v>65</v>
      </c>
      <c r="B40" s="7">
        <f>-CO2排放量!K53*100</f>
        <v>-39896.247093333324</v>
      </c>
      <c r="C40" s="7">
        <f>就业人口!K53</f>
        <v>4384</v>
      </c>
      <c r="D40" s="7">
        <f>资本存量!K53</f>
        <v>172632.53845623255</v>
      </c>
      <c r="E40" s="7">
        <f>能源消耗量!L53</f>
        <v>13869.73</v>
      </c>
      <c r="F40" s="7">
        <f t="shared" si="12"/>
        <v>77010.22709333332</v>
      </c>
      <c r="G40" s="7">
        <f t="shared" si="13"/>
        <v>19219456</v>
      </c>
      <c r="H40" s="7">
        <f t="shared" si="14"/>
        <v>29801993333.842609</v>
      </c>
      <c r="I40" s="7">
        <f t="shared" si="15"/>
        <v>192369410.27289999</v>
      </c>
      <c r="J40" s="7">
        <f t="shared" si="16"/>
        <v>756821048.59212351</v>
      </c>
      <c r="K40" s="7">
        <f t="shared" si="17"/>
        <v>60804896.32</v>
      </c>
      <c r="L40" s="7">
        <f t="shared" si="18"/>
        <v>2394366697.6025624</v>
      </c>
      <c r="M40" s="7">
        <f t="shared" si="19"/>
        <v>5930575076.9667692</v>
      </c>
      <c r="N40" s="7">
        <f t="shared" si="20"/>
        <v>337612835.57717329</v>
      </c>
      <c r="O40" s="7">
        <f t="shared" si="21"/>
        <v>13294470990.213066</v>
      </c>
      <c r="P40" s="7">
        <f t="shared" si="22"/>
        <v>1068111057.0232179</v>
      </c>
      <c r="Q40">
        <v>4</v>
      </c>
      <c r="R40">
        <v>9</v>
      </c>
      <c r="S40">
        <f>GDP!K53</f>
        <v>37113.980000000003</v>
      </c>
      <c r="V40">
        <f t="shared" si="23"/>
        <v>-1.0000233611330467</v>
      </c>
    </row>
    <row r="41" spans="1:22" x14ac:dyDescent="0.25">
      <c r="A41" t="s">
        <v>66</v>
      </c>
      <c r="B41" s="7">
        <f>-CO2排放量!K54*100</f>
        <v>-39717.086993333331</v>
      </c>
      <c r="C41" s="7">
        <f>就业人口!K54</f>
        <v>3243</v>
      </c>
      <c r="D41" s="7">
        <f>资本存量!K54</f>
        <v>193508.88910043324</v>
      </c>
      <c r="E41" s="7">
        <f>能源消耗量!L54</f>
        <v>14697.9</v>
      </c>
      <c r="F41" s="7">
        <f t="shared" si="12"/>
        <v>78397.716993333335</v>
      </c>
      <c r="G41" s="7">
        <f t="shared" si="13"/>
        <v>10517049</v>
      </c>
      <c r="H41" s="7">
        <f t="shared" si="14"/>
        <v>37445690160.883774</v>
      </c>
      <c r="I41" s="7">
        <f t="shared" si="15"/>
        <v>216028264.41</v>
      </c>
      <c r="J41" s="7">
        <f t="shared" si="16"/>
        <v>627549327.352705</v>
      </c>
      <c r="K41" s="7">
        <f t="shared" si="17"/>
        <v>47665289.699999996</v>
      </c>
      <c r="L41" s="7">
        <f t="shared" si="18"/>
        <v>2844174301.1092577</v>
      </c>
      <c r="M41" s="7">
        <f t="shared" si="19"/>
        <v>6146202029.7667866</v>
      </c>
      <c r="N41" s="7">
        <f t="shared" si="20"/>
        <v>254243796.20938</v>
      </c>
      <c r="O41" s="7">
        <f t="shared" si="21"/>
        <v>15170655123.390091</v>
      </c>
      <c r="P41" s="7">
        <f t="shared" si="22"/>
        <v>1152281804.596314</v>
      </c>
      <c r="Q41">
        <v>4</v>
      </c>
      <c r="R41">
        <v>10</v>
      </c>
      <c r="S41">
        <f>GDP!K54</f>
        <v>38680.629999999997</v>
      </c>
      <c r="V41">
        <f t="shared" si="23"/>
        <v>-1.0000200203303384</v>
      </c>
    </row>
    <row r="42" spans="1:22" x14ac:dyDescent="0.25">
      <c r="A42" t="s">
        <v>67</v>
      </c>
      <c r="B42" s="7">
        <f>-CO2排放量!K55*100</f>
        <v>-74051.60099266663</v>
      </c>
      <c r="C42" s="7">
        <f>就业人口!K55</f>
        <v>1388</v>
      </c>
      <c r="D42" s="7">
        <f>资本存量!K55</f>
        <v>33951.853386288087</v>
      </c>
      <c r="E42" s="7">
        <f>能源消耗量!L55</f>
        <v>16140.03</v>
      </c>
      <c r="F42" s="7">
        <f t="shared" si="12"/>
        <v>88411.480992666635</v>
      </c>
      <c r="G42" s="7">
        <f t="shared" si="13"/>
        <v>1926544</v>
      </c>
      <c r="H42" s="7">
        <f t="shared" si="14"/>
        <v>1152728348.3640018</v>
      </c>
      <c r="I42" s="7">
        <f t="shared" si="15"/>
        <v>260500568.40090001</v>
      </c>
      <c r="J42" s="7">
        <f t="shared" si="16"/>
        <v>47125172.500167862</v>
      </c>
      <c r="K42" s="7">
        <f t="shared" si="17"/>
        <v>22402361.640000001</v>
      </c>
      <c r="L42" s="7">
        <f t="shared" si="18"/>
        <v>547983932.21029139</v>
      </c>
      <c r="M42" s="7">
        <f t="shared" si="19"/>
        <v>7816589971.3166533</v>
      </c>
      <c r="N42" s="7">
        <f t="shared" si="20"/>
        <v>122715135.61782129</v>
      </c>
      <c r="O42" s="7">
        <f t="shared" si="21"/>
        <v>3001733640.3276134</v>
      </c>
      <c r="P42" s="7">
        <f t="shared" si="22"/>
        <v>1426963955.5660694</v>
      </c>
      <c r="Q42">
        <v>5</v>
      </c>
      <c r="R42">
        <v>1</v>
      </c>
      <c r="S42">
        <f>GDP!K55</f>
        <v>14359.88</v>
      </c>
      <c r="V42">
        <f t="shared" si="23"/>
        <v>-0.99997442111539048</v>
      </c>
    </row>
    <row r="43" spans="1:22" x14ac:dyDescent="0.25">
      <c r="A43" t="s">
        <v>68</v>
      </c>
      <c r="B43" s="7">
        <f>-CO2排放量!K56*100</f>
        <v>-78869.167383633321</v>
      </c>
      <c r="C43" s="7">
        <f>就业人口!K56</f>
        <v>1379</v>
      </c>
      <c r="D43" s="7">
        <f>资本存量!K56</f>
        <v>42568.215461204432</v>
      </c>
      <c r="E43" s="7">
        <f>能源消耗量!L56</f>
        <v>16912.919999999998</v>
      </c>
      <c r="F43" s="7">
        <f t="shared" si="12"/>
        <v>94749.746227633324</v>
      </c>
      <c r="G43" s="7">
        <f t="shared" si="13"/>
        <v>1901641</v>
      </c>
      <c r="H43" s="7">
        <f t="shared" si="14"/>
        <v>1812052967.5515242</v>
      </c>
      <c r="I43" s="7">
        <f t="shared" si="15"/>
        <v>286046862.92639995</v>
      </c>
      <c r="J43" s="7">
        <f t="shared" si="16"/>
        <v>58701569.121000916</v>
      </c>
      <c r="K43" s="7">
        <f t="shared" si="17"/>
        <v>23322916.679999996</v>
      </c>
      <c r="L43" s="7">
        <f t="shared" si="18"/>
        <v>719952822.63811362</v>
      </c>
      <c r="M43" s="7">
        <f t="shared" si="19"/>
        <v>8977514410.2009163</v>
      </c>
      <c r="N43" s="7">
        <f t="shared" si="20"/>
        <v>130659900.04790635</v>
      </c>
      <c r="O43" s="7">
        <f t="shared" si="21"/>
        <v>4033327612.3123374</v>
      </c>
      <c r="P43" s="7">
        <f t="shared" si="22"/>
        <v>1602494877.9682641</v>
      </c>
      <c r="Q43">
        <v>5</v>
      </c>
      <c r="R43">
        <v>2</v>
      </c>
      <c r="S43">
        <f>GDP!K56</f>
        <v>15880.578844</v>
      </c>
      <c r="V43">
        <f t="shared" si="23"/>
        <v>-0.99997438480037604</v>
      </c>
    </row>
    <row r="44" spans="1:22" x14ac:dyDescent="0.25">
      <c r="A44" t="s">
        <v>69</v>
      </c>
      <c r="B44" s="7">
        <f>-CO2排放量!K57*100</f>
        <v>-78374.308548666653</v>
      </c>
      <c r="C44" s="7">
        <f>就业人口!K57</f>
        <v>1370</v>
      </c>
      <c r="D44" s="7">
        <f>资本存量!K57</f>
        <v>52699.04437692881</v>
      </c>
      <c r="E44" s="7">
        <f>能源消耗量!L57</f>
        <v>17544.169999999998</v>
      </c>
      <c r="F44" s="7">
        <f t="shared" si="12"/>
        <v>95290.811490666645</v>
      </c>
      <c r="G44" s="7">
        <f t="shared" si="13"/>
        <v>1876900</v>
      </c>
      <c r="H44" s="7">
        <f t="shared" si="14"/>
        <v>2777189278.2415123</v>
      </c>
      <c r="I44" s="7">
        <f t="shared" si="15"/>
        <v>307797900.98889995</v>
      </c>
      <c r="J44" s="7">
        <f t="shared" si="16"/>
        <v>72197690.796392471</v>
      </c>
      <c r="K44" s="7">
        <f t="shared" si="17"/>
        <v>24035512.899999999</v>
      </c>
      <c r="L44" s="7">
        <f t="shared" si="18"/>
        <v>924560993.38638306</v>
      </c>
      <c r="M44" s="7">
        <f t="shared" si="19"/>
        <v>9080338754.5497665</v>
      </c>
      <c r="N44" s="7">
        <f t="shared" si="20"/>
        <v>130548411.74221331</v>
      </c>
      <c r="O44" s="7">
        <f t="shared" si="21"/>
        <v>5021734703.4601994</v>
      </c>
      <c r="P44" s="7">
        <f t="shared" si="22"/>
        <v>1671798196.2302089</v>
      </c>
      <c r="Q44">
        <v>5</v>
      </c>
      <c r="R44">
        <v>3</v>
      </c>
      <c r="S44">
        <f>GDP!K57</f>
        <v>16916.502941999999</v>
      </c>
      <c r="V44">
        <f t="shared" si="23"/>
        <v>-0.99997095922385881</v>
      </c>
    </row>
    <row r="45" spans="1:22" x14ac:dyDescent="0.25">
      <c r="A45" t="s">
        <v>70</v>
      </c>
      <c r="B45" s="7">
        <f>-CO2排放量!K58*100</f>
        <v>-80600.00900000002</v>
      </c>
      <c r="C45" s="7">
        <f>就业人口!K58</f>
        <v>1360</v>
      </c>
      <c r="D45" s="7">
        <f>资本存量!K58</f>
        <v>65231.762216743642</v>
      </c>
      <c r="E45" s="7">
        <f>能源消耗量!L58</f>
        <v>18167.46</v>
      </c>
      <c r="F45" s="7">
        <f t="shared" si="12"/>
        <v>98370.197819000023</v>
      </c>
      <c r="G45" s="7">
        <f t="shared" si="13"/>
        <v>1849600</v>
      </c>
      <c r="H45" s="7">
        <f t="shared" si="14"/>
        <v>4255182801.9017835</v>
      </c>
      <c r="I45" s="7">
        <f t="shared" si="15"/>
        <v>330056602.85159999</v>
      </c>
      <c r="J45" s="7">
        <f t="shared" si="16"/>
        <v>88715196.614771351</v>
      </c>
      <c r="K45" s="7">
        <f t="shared" si="17"/>
        <v>24707745.599999998</v>
      </c>
      <c r="L45" s="7">
        <f t="shared" si="18"/>
        <v>1185095430.8022015</v>
      </c>
      <c r="M45" s="7">
        <f t="shared" si="19"/>
        <v>9676695818.9491978</v>
      </c>
      <c r="N45" s="7">
        <f t="shared" si="20"/>
        <v>133783469.03384003</v>
      </c>
      <c r="O45" s="7">
        <f t="shared" si="21"/>
        <v>6416861353.3430433</v>
      </c>
      <c r="P45" s="7">
        <f t="shared" si="22"/>
        <v>1787136634.0687702</v>
      </c>
      <c r="Q45">
        <v>5</v>
      </c>
      <c r="R45">
        <v>4</v>
      </c>
      <c r="S45">
        <f>GDP!K58</f>
        <v>17770.188818999999</v>
      </c>
      <c r="V45">
        <f t="shared" si="23"/>
        <v>-0.99996700372079683</v>
      </c>
    </row>
    <row r="46" spans="1:22" x14ac:dyDescent="0.25">
      <c r="A46" t="s">
        <v>71</v>
      </c>
      <c r="B46" s="7">
        <f>-CO2排放量!K59*100</f>
        <v>-75379.99418933336</v>
      </c>
      <c r="C46" s="7">
        <f>就业人口!K59</f>
        <v>1351</v>
      </c>
      <c r="D46" s="7">
        <f>资本存量!K59</f>
        <v>72671.734743936249</v>
      </c>
      <c r="E46" s="7">
        <f>能源消耗量!L59</f>
        <v>18783.71</v>
      </c>
      <c r="F46" s="7">
        <f t="shared" si="12"/>
        <v>93211.502972333357</v>
      </c>
      <c r="G46" s="7">
        <f t="shared" si="13"/>
        <v>1825201</v>
      </c>
      <c r="H46" s="7">
        <f t="shared" si="14"/>
        <v>5281181030.6930313</v>
      </c>
      <c r="I46" s="7">
        <f t="shared" si="15"/>
        <v>352827761.36409998</v>
      </c>
      <c r="J46" s="7">
        <f t="shared" si="16"/>
        <v>98179513.639057875</v>
      </c>
      <c r="K46" s="7">
        <f t="shared" si="17"/>
        <v>25376792.209999997</v>
      </c>
      <c r="L46" s="7">
        <f t="shared" si="18"/>
        <v>1365044790.6270227</v>
      </c>
      <c r="M46" s="7">
        <f t="shared" si="19"/>
        <v>8688384286.361311</v>
      </c>
      <c r="N46" s="7">
        <f t="shared" si="20"/>
        <v>125928740.51562236</v>
      </c>
      <c r="O46" s="7">
        <f t="shared" si="21"/>
        <v>6773841619.089035</v>
      </c>
      <c r="P46" s="7">
        <f t="shared" si="22"/>
        <v>1750857840.4964478</v>
      </c>
      <c r="Q46">
        <v>5</v>
      </c>
      <c r="R46">
        <v>5</v>
      </c>
      <c r="S46">
        <f>GDP!K59</f>
        <v>17831.508783000001</v>
      </c>
      <c r="V46">
        <f t="shared" si="23"/>
        <v>-0.99995707837572134</v>
      </c>
    </row>
    <row r="47" spans="1:22" x14ac:dyDescent="0.25">
      <c r="A47" t="s">
        <v>72</v>
      </c>
      <c r="B47" s="7">
        <f>-CO2排放量!K60*100</f>
        <v>-75461.516656489301</v>
      </c>
      <c r="C47" s="7">
        <f>就业人口!K60</f>
        <v>1326</v>
      </c>
      <c r="D47" s="7">
        <f>资本存量!K60</f>
        <v>80775.261808518379</v>
      </c>
      <c r="E47" s="7">
        <f>能源消耗量!L60</f>
        <v>19309.66</v>
      </c>
      <c r="F47" s="7">
        <f t="shared" si="12"/>
        <v>93589.616656489292</v>
      </c>
      <c r="G47" s="7">
        <f t="shared" si="13"/>
        <v>1758276</v>
      </c>
      <c r="H47" s="7">
        <f t="shared" si="14"/>
        <v>6524642920.2346878</v>
      </c>
      <c r="I47" s="7">
        <f t="shared" si="15"/>
        <v>372862969.31559998</v>
      </c>
      <c r="J47" s="7">
        <f t="shared" si="16"/>
        <v>107107997.15809537</v>
      </c>
      <c r="K47" s="7">
        <f t="shared" si="17"/>
        <v>25604609.16</v>
      </c>
      <c r="L47" s="7">
        <f t="shared" si="18"/>
        <v>1559742841.933475</v>
      </c>
      <c r="M47" s="7">
        <f t="shared" si="19"/>
        <v>8759016345.908617</v>
      </c>
      <c r="N47" s="7">
        <f t="shared" si="20"/>
        <v>124099831.6865048</v>
      </c>
      <c r="O47" s="7">
        <f t="shared" si="21"/>
        <v>7559725787.9867954</v>
      </c>
      <c r="P47" s="7">
        <f t="shared" si="22"/>
        <v>1807183677.167145</v>
      </c>
      <c r="Q47">
        <v>5</v>
      </c>
      <c r="R47">
        <v>6</v>
      </c>
      <c r="S47">
        <f>GDP!K60</f>
        <v>18128.099999999999</v>
      </c>
      <c r="V47">
        <f t="shared" si="23"/>
        <v>-0.99994901762276112</v>
      </c>
    </row>
    <row r="48" spans="1:22" x14ac:dyDescent="0.25">
      <c r="A48" t="s">
        <v>73</v>
      </c>
      <c r="B48" s="7">
        <f>-CO2排放量!K61*100</f>
        <v>-76507.294311333331</v>
      </c>
      <c r="C48" s="7">
        <f>就业人口!K61</f>
        <v>1317</v>
      </c>
      <c r="D48" s="7">
        <f>资本存量!K61</f>
        <v>87033.997474900607</v>
      </c>
      <c r="E48" s="7">
        <f>能源消耗量!L61</f>
        <v>19763.439999999999</v>
      </c>
      <c r="F48" s="7">
        <f t="shared" si="12"/>
        <v>92603.504311333323</v>
      </c>
      <c r="G48" s="7">
        <f t="shared" si="13"/>
        <v>1734489</v>
      </c>
      <c r="H48" s="7">
        <f t="shared" si="14"/>
        <v>7574916716.4610052</v>
      </c>
      <c r="I48" s="7">
        <f t="shared" si="15"/>
        <v>390593560.63359994</v>
      </c>
      <c r="J48" s="7">
        <f t="shared" si="16"/>
        <v>114623774.67444409</v>
      </c>
      <c r="K48" s="7">
        <f t="shared" si="17"/>
        <v>26028450.479999997</v>
      </c>
      <c r="L48" s="7">
        <f t="shared" si="18"/>
        <v>1720091187.0553496</v>
      </c>
      <c r="M48" s="7">
        <f t="shared" si="19"/>
        <v>8575409010.7391291</v>
      </c>
      <c r="N48" s="7">
        <f t="shared" si="20"/>
        <v>121958815.17802599</v>
      </c>
      <c r="O48" s="7">
        <f t="shared" si="21"/>
        <v>8059653160.3995323</v>
      </c>
      <c r="P48" s="7">
        <f t="shared" si="22"/>
        <v>1830163801.2467773</v>
      </c>
      <c r="Q48">
        <v>5</v>
      </c>
      <c r="R48">
        <v>7</v>
      </c>
      <c r="S48">
        <f>GDP!K61</f>
        <v>16096.21</v>
      </c>
      <c r="V48">
        <f t="shared" si="23"/>
        <v>-0.99993716502417507</v>
      </c>
    </row>
    <row r="49" spans="1:22" x14ac:dyDescent="0.25">
      <c r="A49" t="s">
        <v>74</v>
      </c>
      <c r="B49" s="7">
        <f>-CO2排放量!K62*100</f>
        <v>-85757.321491333321</v>
      </c>
      <c r="C49" s="7">
        <f>就业人口!K62</f>
        <v>1304</v>
      </c>
      <c r="D49" s="7">
        <f>资本存量!K62</f>
        <v>88866.301618910162</v>
      </c>
      <c r="E49" s="7">
        <f>能源消耗量!L62</f>
        <v>23068.47</v>
      </c>
      <c r="F49" s="7">
        <f t="shared" si="12"/>
        <v>101898.12149133332</v>
      </c>
      <c r="G49" s="7">
        <f t="shared" si="13"/>
        <v>1700416</v>
      </c>
      <c r="H49" s="7">
        <f t="shared" si="14"/>
        <v>7897219563.4231148</v>
      </c>
      <c r="I49" s="7">
        <f t="shared" si="15"/>
        <v>532154308.14090008</v>
      </c>
      <c r="J49" s="7">
        <f t="shared" si="16"/>
        <v>115881657.31105885</v>
      </c>
      <c r="K49" s="7">
        <f t="shared" si="17"/>
        <v>30081284.880000003</v>
      </c>
      <c r="L49" s="7">
        <f t="shared" si="18"/>
        <v>2050009612.9067807</v>
      </c>
      <c r="M49" s="7">
        <f t="shared" si="19"/>
        <v>10383227163.462526</v>
      </c>
      <c r="N49" s="7">
        <f t="shared" si="20"/>
        <v>132875150.42469865</v>
      </c>
      <c r="O49" s="7">
        <f t="shared" si="21"/>
        <v>9055309198.8491783</v>
      </c>
      <c r="P49" s="7">
        <f t="shared" si="22"/>
        <v>2350633758.6791782</v>
      </c>
      <c r="Q49">
        <v>5</v>
      </c>
      <c r="R49">
        <v>8</v>
      </c>
      <c r="S49">
        <f>GDP!K62</f>
        <v>16140.8</v>
      </c>
      <c r="V49">
        <f t="shared" si="23"/>
        <v>-0.99995296841524484</v>
      </c>
    </row>
    <row r="50" spans="1:22" x14ac:dyDescent="0.25">
      <c r="A50" t="s">
        <v>75</v>
      </c>
      <c r="B50" s="7">
        <f>-CO2排放量!K63*100</f>
        <v>-97278.727885999964</v>
      </c>
      <c r="C50" s="7">
        <f>就业人口!K63</f>
        <v>1272</v>
      </c>
      <c r="D50" s="7">
        <f>资本存量!K63</f>
        <v>91113.583503387592</v>
      </c>
      <c r="E50" s="7">
        <f>能源消耗量!L63</f>
        <v>25345.57</v>
      </c>
      <c r="F50" s="7">
        <f t="shared" si="12"/>
        <v>114491.25788599996</v>
      </c>
      <c r="G50" s="7">
        <f t="shared" si="13"/>
        <v>1617984</v>
      </c>
      <c r="H50" s="7">
        <f t="shared" si="14"/>
        <v>8301685098.828784</v>
      </c>
      <c r="I50" s="7">
        <f t="shared" si="15"/>
        <v>642397918.62489998</v>
      </c>
      <c r="J50" s="7">
        <f t="shared" si="16"/>
        <v>115896478.21630901</v>
      </c>
      <c r="K50" s="7">
        <f t="shared" si="17"/>
        <v>32239565.039999999</v>
      </c>
      <c r="L50" s="7">
        <f t="shared" si="18"/>
        <v>2309325708.6359553</v>
      </c>
      <c r="M50" s="7">
        <f t="shared" si="19"/>
        <v>13108248132.318548</v>
      </c>
      <c r="N50" s="7">
        <f t="shared" si="20"/>
        <v>145632880.03099194</v>
      </c>
      <c r="O50" s="7">
        <f t="shared" si="21"/>
        <v>10431708785.80394</v>
      </c>
      <c r="P50" s="7">
        <f t="shared" si="22"/>
        <v>2901846191.1376638</v>
      </c>
      <c r="Q50">
        <v>5</v>
      </c>
      <c r="R50">
        <v>9</v>
      </c>
      <c r="S50">
        <f>GDP!K63</f>
        <v>17212.53</v>
      </c>
      <c r="V50">
        <f t="shared" si="23"/>
        <v>-0.99996498271544554</v>
      </c>
    </row>
    <row r="51" spans="1:22" x14ac:dyDescent="0.25">
      <c r="A51" t="s">
        <v>76</v>
      </c>
      <c r="B51" s="7">
        <f>-CO2排放量!K64*100</f>
        <v>-104666.21954466669</v>
      </c>
      <c r="C51" s="7">
        <f>就业人口!K64</f>
        <v>1242</v>
      </c>
      <c r="D51" s="7">
        <f>资本存量!K64</f>
        <v>92961.892730677006</v>
      </c>
      <c r="E51" s="7">
        <f>能源消耗量!L64</f>
        <v>27133.65</v>
      </c>
      <c r="F51" s="7">
        <f t="shared" si="12"/>
        <v>122026.03954466668</v>
      </c>
      <c r="G51" s="7">
        <f t="shared" si="13"/>
        <v>1542564</v>
      </c>
      <c r="H51" s="7">
        <f t="shared" si="14"/>
        <v>8641913500.0698986</v>
      </c>
      <c r="I51" s="7">
        <f t="shared" si="15"/>
        <v>736234962.32250011</v>
      </c>
      <c r="J51" s="7">
        <f t="shared" si="16"/>
        <v>115458670.77150084</v>
      </c>
      <c r="K51" s="7">
        <f t="shared" si="17"/>
        <v>33699993.300000004</v>
      </c>
      <c r="L51" s="7">
        <f t="shared" si="18"/>
        <v>2522395460.6917343</v>
      </c>
      <c r="M51" s="7">
        <f t="shared" si="19"/>
        <v>14890354326.956556</v>
      </c>
      <c r="N51" s="7">
        <f t="shared" si="20"/>
        <v>151556341.11447603</v>
      </c>
      <c r="O51" s="7">
        <f t="shared" si="21"/>
        <v>11343771598.500654</v>
      </c>
      <c r="P51" s="7">
        <f t="shared" si="22"/>
        <v>3311011847.8911452</v>
      </c>
      <c r="Q51">
        <v>5</v>
      </c>
      <c r="R51">
        <v>10</v>
      </c>
      <c r="S51">
        <f>GDP!K64</f>
        <v>17359.82</v>
      </c>
      <c r="V51">
        <f t="shared" si="23"/>
        <v>-0.99996943090615742</v>
      </c>
    </row>
    <row r="52" spans="1:22" x14ac:dyDescent="0.25">
      <c r="A52" t="s">
        <v>77</v>
      </c>
      <c r="B52" s="7">
        <f>-CO2排放量!K65*100</f>
        <v>-16969.415469999996</v>
      </c>
      <c r="C52" s="7">
        <f>就业人口!K65</f>
        <v>1379</v>
      </c>
      <c r="D52" s="7">
        <f>资本存量!K65</f>
        <v>12063.61724964922</v>
      </c>
      <c r="E52" s="7">
        <f>能源消耗量!L65</f>
        <v>6393.69</v>
      </c>
      <c r="F52" s="7">
        <f t="shared" si="12"/>
        <v>21989.785469999995</v>
      </c>
      <c r="G52" s="7">
        <f t="shared" si="13"/>
        <v>1901641</v>
      </c>
      <c r="H52" s="7">
        <f t="shared" si="14"/>
        <v>145530861.14603421</v>
      </c>
      <c r="I52" s="7">
        <f t="shared" si="15"/>
        <v>40879271.816099994</v>
      </c>
      <c r="J52" s="7">
        <f t="shared" si="16"/>
        <v>16635728.187266273</v>
      </c>
      <c r="K52" s="7">
        <f t="shared" si="17"/>
        <v>8816898.5099999998</v>
      </c>
      <c r="L52" s="7">
        <f t="shared" si="18"/>
        <v>77131028.972909719</v>
      </c>
      <c r="M52" s="7">
        <f t="shared" si="19"/>
        <v>483550665.0166229</v>
      </c>
      <c r="N52" s="7">
        <f t="shared" si="20"/>
        <v>30323914.163129993</v>
      </c>
      <c r="O52" s="7">
        <f t="shared" si="21"/>
        <v>265276355.31197771</v>
      </c>
      <c r="P52" s="7">
        <f t="shared" si="22"/>
        <v>140595871.46168426</v>
      </c>
      <c r="Q52">
        <v>6</v>
      </c>
      <c r="R52">
        <v>1</v>
      </c>
      <c r="S52">
        <f>GDP!K65</f>
        <v>5020.37</v>
      </c>
      <c r="V52">
        <f t="shared" si="23"/>
        <v>-0.99983383662423542</v>
      </c>
    </row>
    <row r="53" spans="1:22" x14ac:dyDescent="0.25">
      <c r="A53" t="s">
        <v>78</v>
      </c>
      <c r="B53" s="7">
        <f>-CO2排放量!K66*100</f>
        <v>-17375.377908666665</v>
      </c>
      <c r="C53" s="7">
        <f>就业人口!K66</f>
        <v>1358</v>
      </c>
      <c r="D53" s="7">
        <f>资本存量!K66</f>
        <v>15085.749993682895</v>
      </c>
      <c r="E53" s="7">
        <f>能源消耗量!L66</f>
        <v>6893.76</v>
      </c>
      <c r="F53" s="7">
        <f t="shared" si="12"/>
        <v>23025.581867666668</v>
      </c>
      <c r="G53" s="7">
        <f t="shared" si="13"/>
        <v>1844164</v>
      </c>
      <c r="H53" s="7">
        <f t="shared" si="14"/>
        <v>227579852.87190348</v>
      </c>
      <c r="I53" s="7">
        <f t="shared" si="15"/>
        <v>47523926.937600002</v>
      </c>
      <c r="J53" s="7">
        <f t="shared" si="16"/>
        <v>20486448.491421372</v>
      </c>
      <c r="K53" s="7">
        <f t="shared" si="17"/>
        <v>9361726.0800000001</v>
      </c>
      <c r="L53" s="7">
        <f t="shared" si="18"/>
        <v>103997539.8764514</v>
      </c>
      <c r="M53" s="7">
        <f t="shared" si="19"/>
        <v>530177420.34462005</v>
      </c>
      <c r="N53" s="7">
        <f t="shared" si="20"/>
        <v>31268740.176291335</v>
      </c>
      <c r="O53" s="7">
        <f t="shared" si="21"/>
        <v>347358171.51469743</v>
      </c>
      <c r="P53" s="7">
        <f t="shared" si="22"/>
        <v>158732835.25604576</v>
      </c>
      <c r="Q53">
        <v>6</v>
      </c>
      <c r="R53">
        <v>2</v>
      </c>
      <c r="S53">
        <f>GDP!K66</f>
        <v>5650.2039590000004</v>
      </c>
      <c r="V53">
        <f t="shared" si="23"/>
        <v>-0.9998101037140924</v>
      </c>
    </row>
    <row r="54" spans="1:22" x14ac:dyDescent="0.25">
      <c r="A54" t="s">
        <v>79</v>
      </c>
      <c r="B54" s="7">
        <f>-CO2排放量!K67*100</f>
        <v>-18146.648981333336</v>
      </c>
      <c r="C54" s="7">
        <f>就业人口!K67</f>
        <v>1352</v>
      </c>
      <c r="D54" s="7">
        <f>资本存量!K67</f>
        <v>18678.047994289336</v>
      </c>
      <c r="E54" s="7">
        <f>能源消耗量!L67</f>
        <v>7286.72</v>
      </c>
      <c r="F54" s="7">
        <f t="shared" si="12"/>
        <v>24477.341296333336</v>
      </c>
      <c r="G54" s="7">
        <f t="shared" si="13"/>
        <v>1827904</v>
      </c>
      <c r="H54" s="7">
        <f t="shared" si="14"/>
        <v>348869476.87697589</v>
      </c>
      <c r="I54" s="7">
        <f t="shared" si="15"/>
        <v>53096288.358400002</v>
      </c>
      <c r="J54" s="7">
        <f t="shared" si="16"/>
        <v>25252720.888279181</v>
      </c>
      <c r="K54" s="7">
        <f t="shared" si="17"/>
        <v>9851645.4399999995</v>
      </c>
      <c r="L54" s="7">
        <f t="shared" si="18"/>
        <v>136101705.88094801</v>
      </c>
      <c r="M54" s="7">
        <f t="shared" si="19"/>
        <v>599140236.93718529</v>
      </c>
      <c r="N54" s="7">
        <f t="shared" si="20"/>
        <v>33093365.432642668</v>
      </c>
      <c r="O54" s="7">
        <f t="shared" si="21"/>
        <v>457188955.50551438</v>
      </c>
      <c r="P54" s="7">
        <f t="shared" si="22"/>
        <v>178359532.37081805</v>
      </c>
      <c r="Q54">
        <v>6</v>
      </c>
      <c r="R54">
        <v>3</v>
      </c>
      <c r="S54">
        <f>GDP!K67</f>
        <v>6330.6923150000002</v>
      </c>
      <c r="V54">
        <f t="shared" si="23"/>
        <v>-0.99977632411745987</v>
      </c>
    </row>
    <row r="55" spans="1:22" x14ac:dyDescent="0.25">
      <c r="A55" t="s">
        <v>80</v>
      </c>
      <c r="B55" s="7">
        <f>-CO2排放量!K68*100</f>
        <v>-18046.855229333334</v>
      </c>
      <c r="C55" s="7">
        <f>就业人口!K68</f>
        <v>1348</v>
      </c>
      <c r="D55" s="7">
        <f>资本存量!K68</f>
        <v>23292.155386837559</v>
      </c>
      <c r="E55" s="7">
        <f>能源消耗量!L68</f>
        <v>7521.45</v>
      </c>
      <c r="F55" s="7">
        <f t="shared" si="12"/>
        <v>24883.676017333335</v>
      </c>
      <c r="G55" s="7">
        <f t="shared" si="13"/>
        <v>1817104</v>
      </c>
      <c r="H55" s="7">
        <f t="shared" si="14"/>
        <v>542524502.56458592</v>
      </c>
      <c r="I55" s="7">
        <f t="shared" si="15"/>
        <v>56572210.102499999</v>
      </c>
      <c r="J55" s="7">
        <f t="shared" si="16"/>
        <v>31397825.461457029</v>
      </c>
      <c r="K55" s="7">
        <f t="shared" si="17"/>
        <v>10138914.6</v>
      </c>
      <c r="L55" s="7">
        <f t="shared" si="18"/>
        <v>175190782.13432935</v>
      </c>
      <c r="M55" s="7">
        <f t="shared" si="19"/>
        <v>619197332.13561022</v>
      </c>
      <c r="N55" s="7">
        <f t="shared" si="20"/>
        <v>33543195.271365337</v>
      </c>
      <c r="O55" s="7">
        <f t="shared" si="21"/>
        <v>579594448.39145124</v>
      </c>
      <c r="P55" s="7">
        <f t="shared" si="22"/>
        <v>187161324.98057181</v>
      </c>
      <c r="Q55">
        <v>6</v>
      </c>
      <c r="R55">
        <v>4</v>
      </c>
      <c r="S55">
        <f>GDP!K68</f>
        <v>6836.820788</v>
      </c>
      <c r="V55">
        <f t="shared" si="23"/>
        <v>-0.99959606321788641</v>
      </c>
    </row>
    <row r="56" spans="1:22" x14ac:dyDescent="0.25">
      <c r="A56" t="s">
        <v>81</v>
      </c>
      <c r="B56" s="7">
        <f>-CO2排放量!K69*100</f>
        <v>-17657.530076666666</v>
      </c>
      <c r="C56" s="7">
        <f>就业人口!K69</f>
        <v>1346</v>
      </c>
      <c r="D56" s="7">
        <f>资本存量!K69</f>
        <v>28815.728469701153</v>
      </c>
      <c r="E56" s="7">
        <f>能源消耗量!L69</f>
        <v>7488.5</v>
      </c>
      <c r="F56" s="7">
        <f t="shared" si="12"/>
        <v>24447.846974666667</v>
      </c>
      <c r="G56" s="7">
        <f t="shared" si="13"/>
        <v>1811716</v>
      </c>
      <c r="H56" s="7">
        <f t="shared" si="14"/>
        <v>830346207.23954558</v>
      </c>
      <c r="I56" s="7">
        <f t="shared" si="15"/>
        <v>56077632.25</v>
      </c>
      <c r="J56" s="7">
        <f t="shared" si="16"/>
        <v>38785970.520217754</v>
      </c>
      <c r="K56" s="7">
        <f t="shared" si="17"/>
        <v>10079521</v>
      </c>
      <c r="L56" s="7">
        <f t="shared" si="18"/>
        <v>215786582.64535707</v>
      </c>
      <c r="M56" s="7">
        <f t="shared" si="19"/>
        <v>597697221.6967181</v>
      </c>
      <c r="N56" s="7">
        <f t="shared" si="20"/>
        <v>32906802.027901333</v>
      </c>
      <c r="O56" s="7">
        <f t="shared" si="21"/>
        <v>704482520.09079945</v>
      </c>
      <c r="P56" s="7">
        <f t="shared" si="22"/>
        <v>183077702.06979135</v>
      </c>
      <c r="Q56">
        <v>6</v>
      </c>
      <c r="R56">
        <v>5</v>
      </c>
      <c r="S56">
        <f>GDP!K69</f>
        <v>6790.316898</v>
      </c>
      <c r="V56">
        <f t="shared" si="23"/>
        <v>-1.001867524888155</v>
      </c>
    </row>
    <row r="57" spans="1:22" x14ac:dyDescent="0.25">
      <c r="A57" t="s">
        <v>82</v>
      </c>
      <c r="B57" s="7">
        <f>-CO2排放量!K70*100</f>
        <v>-16971.652950000003</v>
      </c>
      <c r="C57" s="7">
        <f>就业人口!K70</f>
        <v>1341</v>
      </c>
      <c r="D57" s="7">
        <f>资本存量!K70</f>
        <v>34676.018536609845</v>
      </c>
      <c r="E57" s="7">
        <f>能源消耗量!L70</f>
        <v>7299.93</v>
      </c>
      <c r="F57" s="7">
        <f t="shared" si="12"/>
        <v>24172.022950000002</v>
      </c>
      <c r="G57" s="7">
        <f t="shared" si="13"/>
        <v>1798281</v>
      </c>
      <c r="H57" s="7">
        <f t="shared" si="14"/>
        <v>1202426261.5513096</v>
      </c>
      <c r="I57" s="7">
        <f t="shared" si="15"/>
        <v>53288978.004900001</v>
      </c>
      <c r="J57" s="7">
        <f t="shared" si="16"/>
        <v>46500540.857593805</v>
      </c>
      <c r="K57" s="7">
        <f t="shared" si="17"/>
        <v>9789206.1300000008</v>
      </c>
      <c r="L57" s="7">
        <f t="shared" si="18"/>
        <v>253132507.9959543</v>
      </c>
      <c r="M57" s="7">
        <f t="shared" si="19"/>
        <v>584286693.49532676</v>
      </c>
      <c r="N57" s="7">
        <f t="shared" si="20"/>
        <v>32414682.775950003</v>
      </c>
      <c r="O57" s="7">
        <f t="shared" si="21"/>
        <v>838189515.88155866</v>
      </c>
      <c r="P57" s="7">
        <f t="shared" si="22"/>
        <v>176454075.49339351</v>
      </c>
      <c r="Q57">
        <v>6</v>
      </c>
      <c r="R57">
        <v>6</v>
      </c>
      <c r="S57">
        <f>GDP!K70</f>
        <v>7200.37</v>
      </c>
      <c r="V57">
        <f t="shared" si="23"/>
        <v>-1.000277087185943</v>
      </c>
    </row>
    <row r="58" spans="1:22" x14ac:dyDescent="0.25">
      <c r="A58" t="s">
        <v>83</v>
      </c>
      <c r="B58" s="7">
        <f>-CO2排放量!K71*100</f>
        <v>-17398.676512849634</v>
      </c>
      <c r="C58" s="7">
        <f>就业人口!K71</f>
        <v>1337</v>
      </c>
      <c r="D58" s="7">
        <f>资本存量!K71</f>
        <v>40881.220757095303</v>
      </c>
      <c r="E58" s="7">
        <f>能源消耗量!L71</f>
        <v>7503.63</v>
      </c>
      <c r="F58" s="7">
        <f t="shared" si="12"/>
        <v>24858.576041849636</v>
      </c>
      <c r="G58" s="7">
        <f t="shared" si="13"/>
        <v>1787569</v>
      </c>
      <c r="H58" s="7">
        <f t="shared" si="14"/>
        <v>1671274210.5903599</v>
      </c>
      <c r="I58" s="7">
        <f t="shared" si="15"/>
        <v>56304463.176899999</v>
      </c>
      <c r="J58" s="7">
        <f t="shared" si="16"/>
        <v>54658192.152236417</v>
      </c>
      <c r="K58" s="7">
        <f t="shared" si="17"/>
        <v>10032353.310000001</v>
      </c>
      <c r="L58" s="7">
        <f t="shared" si="18"/>
        <v>306757554.50956303</v>
      </c>
      <c r="M58" s="7">
        <f t="shared" si="19"/>
        <v>617948802.82842076</v>
      </c>
      <c r="N58" s="7">
        <f t="shared" si="20"/>
        <v>33235916.167952962</v>
      </c>
      <c r="O58" s="7">
        <f t="shared" si="21"/>
        <v>1016248934.8738953</v>
      </c>
      <c r="P58" s="7">
        <f t="shared" si="22"/>
        <v>186529556.94490418</v>
      </c>
      <c r="Q58">
        <v>6</v>
      </c>
      <c r="R58">
        <v>7</v>
      </c>
      <c r="S58">
        <f>GDP!K71</f>
        <v>7459.8995290000003</v>
      </c>
      <c r="V58">
        <f t="shared" si="23"/>
        <v>-1.0001610862683956</v>
      </c>
    </row>
    <row r="59" spans="1:22" x14ac:dyDescent="0.25">
      <c r="A59" t="s">
        <v>84</v>
      </c>
      <c r="B59" s="7">
        <f>-CO2排放量!K72*100</f>
        <v>-18249.648573333336</v>
      </c>
      <c r="C59" s="7">
        <f>就业人口!K72</f>
        <v>1337</v>
      </c>
      <c r="D59" s="7">
        <f>资本存量!K72</f>
        <v>46118.893664414158</v>
      </c>
      <c r="E59" s="7">
        <f>能源消耗量!L72</f>
        <v>7822.54</v>
      </c>
      <c r="F59" s="7">
        <f t="shared" si="12"/>
        <v>26353.718573333335</v>
      </c>
      <c r="G59" s="7">
        <f t="shared" si="13"/>
        <v>1787569</v>
      </c>
      <c r="H59" s="7">
        <f t="shared" si="14"/>
        <v>2126952352.8295403</v>
      </c>
      <c r="I59" s="7">
        <f t="shared" si="15"/>
        <v>61192132.051600002</v>
      </c>
      <c r="J59" s="7">
        <f t="shared" si="16"/>
        <v>61660960.829321727</v>
      </c>
      <c r="K59" s="7">
        <f t="shared" si="17"/>
        <v>10458735.98</v>
      </c>
      <c r="L59" s="7">
        <f t="shared" si="18"/>
        <v>360766890.44562632</v>
      </c>
      <c r="M59" s="7">
        <f t="shared" si="19"/>
        <v>694518482.64245439</v>
      </c>
      <c r="N59" s="7">
        <f t="shared" si="20"/>
        <v>35234921.732546672</v>
      </c>
      <c r="O59" s="7">
        <f t="shared" si="21"/>
        <v>1215404344.5454564</v>
      </c>
      <c r="P59" s="7">
        <f t="shared" si="22"/>
        <v>206153017.68864295</v>
      </c>
      <c r="Q59">
        <v>6</v>
      </c>
      <c r="R59">
        <v>8</v>
      </c>
      <c r="S59">
        <f>GDP!K72</f>
        <v>8104.07</v>
      </c>
      <c r="V59">
        <f t="shared" si="23"/>
        <v>-1.0001281672351312</v>
      </c>
    </row>
    <row r="60" spans="1:22" x14ac:dyDescent="0.25">
      <c r="A60" t="s">
        <v>85</v>
      </c>
      <c r="B60" s="7">
        <f>-CO2排放量!K73*100</f>
        <v>-18544.137674666665</v>
      </c>
      <c r="C60" s="7">
        <f>就业人口!K73</f>
        <v>1333</v>
      </c>
      <c r="D60" s="7">
        <f>资本存量!K73</f>
        <v>51454.794891190395</v>
      </c>
      <c r="E60" s="7">
        <f>能源消耗量!L73</f>
        <v>7818.02</v>
      </c>
      <c r="F60" s="7">
        <f t="shared" si="12"/>
        <v>27262.437674666664</v>
      </c>
      <c r="G60" s="7">
        <f t="shared" si="13"/>
        <v>1776889</v>
      </c>
      <c r="H60" s="7">
        <f t="shared" si="14"/>
        <v>2647595917.2944732</v>
      </c>
      <c r="I60" s="7">
        <f t="shared" si="15"/>
        <v>61121436.720400006</v>
      </c>
      <c r="J60" s="7">
        <f t="shared" si="16"/>
        <v>68589241.58995679</v>
      </c>
      <c r="K60" s="7">
        <f t="shared" si="17"/>
        <v>10421420.66</v>
      </c>
      <c r="L60" s="7">
        <f t="shared" si="18"/>
        <v>402274615.55522436</v>
      </c>
      <c r="M60" s="7">
        <f t="shared" si="19"/>
        <v>743240507.96508431</v>
      </c>
      <c r="N60" s="7">
        <f t="shared" si="20"/>
        <v>36340829.420330666</v>
      </c>
      <c r="O60" s="7">
        <f t="shared" si="21"/>
        <v>1402783138.7838347</v>
      </c>
      <c r="P60" s="7">
        <f t="shared" si="22"/>
        <v>213138282.98929748</v>
      </c>
      <c r="Q60">
        <v>6</v>
      </c>
      <c r="R60">
        <v>9</v>
      </c>
      <c r="S60">
        <f>GDP!K73</f>
        <v>8718.2999999999993</v>
      </c>
      <c r="V60">
        <f t="shared" si="23"/>
        <v>-1.0001016744175506</v>
      </c>
    </row>
    <row r="61" spans="1:22" x14ac:dyDescent="0.25">
      <c r="A61" t="s">
        <v>86</v>
      </c>
      <c r="B61" s="7">
        <f>-CO2排放量!K74*100</f>
        <v>-19598.652623333335</v>
      </c>
      <c r="C61" s="7">
        <f>就业人口!K74</f>
        <v>1331</v>
      </c>
      <c r="D61" s="7">
        <f>资本存量!K74</f>
        <v>57044.869829153082</v>
      </c>
      <c r="E61" s="7">
        <f>能源消耗量!L74</f>
        <v>8104.71</v>
      </c>
      <c r="F61" s="7">
        <f t="shared" si="12"/>
        <v>28615.352623333336</v>
      </c>
      <c r="G61" s="7">
        <f t="shared" si="13"/>
        <v>1771561</v>
      </c>
      <c r="H61" s="7">
        <f t="shared" si="14"/>
        <v>3254117173.8250194</v>
      </c>
      <c r="I61" s="7">
        <f t="shared" si="15"/>
        <v>65686324.184100002</v>
      </c>
      <c r="J61" s="7">
        <f t="shared" si="16"/>
        <v>75926721.742602751</v>
      </c>
      <c r="K61" s="7">
        <f t="shared" si="17"/>
        <v>10787369.01</v>
      </c>
      <c r="L61" s="7">
        <f t="shared" si="18"/>
        <v>462332126.9530353</v>
      </c>
      <c r="M61" s="7">
        <f t="shared" si="19"/>
        <v>818838405.75770998</v>
      </c>
      <c r="N61" s="7">
        <f t="shared" si="20"/>
        <v>38087034.34165667</v>
      </c>
      <c r="O61" s="7">
        <f t="shared" si="21"/>
        <v>1632359065.5133643</v>
      </c>
      <c r="P61" s="7">
        <f t="shared" si="22"/>
        <v>231919134.55985591</v>
      </c>
      <c r="Q61">
        <v>6</v>
      </c>
      <c r="R61">
        <v>10</v>
      </c>
      <c r="S61">
        <f>GDP!K74</f>
        <v>9016.7000000000007</v>
      </c>
      <c r="V61">
        <f t="shared" si="23"/>
        <v>-1.0000855107789595</v>
      </c>
    </row>
    <row r="62" spans="1:22" x14ac:dyDescent="0.25">
      <c r="A62" t="s">
        <v>87</v>
      </c>
      <c r="B62" s="7">
        <f>-CO2排放量!K75*100</f>
        <v>-19094.822575333332</v>
      </c>
      <c r="C62" s="7">
        <f>就业人口!K75</f>
        <v>478.5</v>
      </c>
      <c r="D62" s="7">
        <f>资本存量!K75</f>
        <v>5189.694294986165</v>
      </c>
      <c r="E62" s="7">
        <f>能源消耗量!L75</f>
        <v>4719.8999999999996</v>
      </c>
      <c r="F62" s="7">
        <f t="shared" si="12"/>
        <v>21197.032575333331</v>
      </c>
      <c r="G62" s="7">
        <f t="shared" si="13"/>
        <v>228962.25</v>
      </c>
      <c r="H62" s="7">
        <f t="shared" si="14"/>
        <v>26932926.87541195</v>
      </c>
      <c r="I62" s="7">
        <f t="shared" si="15"/>
        <v>22277456.009999998</v>
      </c>
      <c r="J62" s="7">
        <f t="shared" si="16"/>
        <v>2483268.72015088</v>
      </c>
      <c r="K62" s="7">
        <f t="shared" si="17"/>
        <v>2258472.15</v>
      </c>
      <c r="L62" s="7">
        <f t="shared" si="18"/>
        <v>24494838.102905199</v>
      </c>
      <c r="M62" s="7">
        <f t="shared" si="19"/>
        <v>449314189.99974239</v>
      </c>
      <c r="N62" s="7">
        <f t="shared" si="20"/>
        <v>10142780.087296998</v>
      </c>
      <c r="O62" s="7">
        <f t="shared" si="21"/>
        <v>110006119.02684328</v>
      </c>
      <c r="P62" s="7">
        <f t="shared" si="22"/>
        <v>100047874.05231579</v>
      </c>
      <c r="Q62">
        <v>7</v>
      </c>
      <c r="R62">
        <v>1</v>
      </c>
      <c r="S62">
        <f>GDP!K75</f>
        <v>2102.21</v>
      </c>
      <c r="V62">
        <f t="shared" si="23"/>
        <v>-0.9999054633382406</v>
      </c>
    </row>
    <row r="63" spans="1:22" x14ac:dyDescent="0.25">
      <c r="A63" t="s">
        <v>88</v>
      </c>
      <c r="B63" s="7">
        <f>-CO2排放量!K76*100</f>
        <v>-18856.961744127908</v>
      </c>
      <c r="C63" s="7">
        <f>就业人口!K76</f>
        <v>487.9</v>
      </c>
      <c r="D63" s="7">
        <f>资本存量!K76</f>
        <v>6801.0018426674924</v>
      </c>
      <c r="E63" s="7">
        <f>能源消耗量!L76</f>
        <v>4895.2</v>
      </c>
      <c r="F63" s="7">
        <f t="shared" si="12"/>
        <v>21198.251744127909</v>
      </c>
      <c r="G63" s="7">
        <f t="shared" si="13"/>
        <v>238046.40999999997</v>
      </c>
      <c r="H63" s="7">
        <f t="shared" si="14"/>
        <v>46253626.063966624</v>
      </c>
      <c r="I63" s="7">
        <f t="shared" si="15"/>
        <v>23962983.039999999</v>
      </c>
      <c r="J63" s="7">
        <f t="shared" si="16"/>
        <v>3318208.7990374696</v>
      </c>
      <c r="K63" s="7">
        <f t="shared" si="17"/>
        <v>2388368.0799999996</v>
      </c>
      <c r="L63" s="7">
        <f t="shared" si="18"/>
        <v>33292264.220225908</v>
      </c>
      <c r="M63" s="7">
        <f t="shared" si="19"/>
        <v>449365877.00742191</v>
      </c>
      <c r="N63" s="7">
        <f t="shared" si="20"/>
        <v>10342627.025960006</v>
      </c>
      <c r="O63" s="7">
        <f t="shared" si="21"/>
        <v>144169349.1731433</v>
      </c>
      <c r="P63" s="7">
        <f t="shared" si="22"/>
        <v>103769681.93785493</v>
      </c>
      <c r="Q63">
        <v>7</v>
      </c>
      <c r="R63">
        <v>2</v>
      </c>
      <c r="S63">
        <f>GDP!K76</f>
        <v>2341.29</v>
      </c>
      <c r="V63">
        <f t="shared" si="23"/>
        <v>-0.99989766729646345</v>
      </c>
    </row>
    <row r="64" spans="1:22" x14ac:dyDescent="0.25">
      <c r="A64" t="s">
        <v>89</v>
      </c>
      <c r="B64" s="7">
        <f>-CO2排放量!K77*100</f>
        <v>-18775.607406666662</v>
      </c>
      <c r="C64" s="7">
        <f>就业人口!K77</f>
        <v>494</v>
      </c>
      <c r="D64" s="7">
        <f>资本存量!K77</f>
        <v>8829.2485657714133</v>
      </c>
      <c r="E64" s="7">
        <f>能源消耗量!L77</f>
        <v>5186.8</v>
      </c>
      <c r="F64" s="7">
        <f t="shared" si="12"/>
        <v>21353.177406666662</v>
      </c>
      <c r="G64" s="7">
        <f t="shared" si="13"/>
        <v>244036</v>
      </c>
      <c r="H64" s="7">
        <f t="shared" si="14"/>
        <v>77955630.236176565</v>
      </c>
      <c r="I64" s="7">
        <f t="shared" si="15"/>
        <v>26902894.240000002</v>
      </c>
      <c r="J64" s="7">
        <f t="shared" si="16"/>
        <v>4361648.7914910782</v>
      </c>
      <c r="K64" s="7">
        <f t="shared" si="17"/>
        <v>2562279.2000000002</v>
      </c>
      <c r="L64" s="7">
        <f t="shared" si="18"/>
        <v>45795546.46094317</v>
      </c>
      <c r="M64" s="7">
        <f t="shared" si="19"/>
        <v>455958185.36057961</v>
      </c>
      <c r="N64" s="7">
        <f t="shared" si="20"/>
        <v>10548469.63889333</v>
      </c>
      <c r="O64" s="7">
        <f t="shared" si="21"/>
        <v>188532510.99247417</v>
      </c>
      <c r="P64" s="7">
        <f t="shared" si="22"/>
        <v>110754660.57289864</v>
      </c>
      <c r="Q64">
        <v>7</v>
      </c>
      <c r="R64">
        <v>3</v>
      </c>
      <c r="S64">
        <f>GDP!K77</f>
        <v>2577.5700000000002</v>
      </c>
      <c r="V64">
        <f t="shared" si="23"/>
        <v>-0.99988728984057806</v>
      </c>
    </row>
    <row r="65" spans="1:22" x14ac:dyDescent="0.25">
      <c r="A65" t="s">
        <v>90</v>
      </c>
      <c r="B65" s="7">
        <f>-CO2排放量!K78*100</f>
        <v>-19521.582880721337</v>
      </c>
      <c r="C65" s="7">
        <f>就业人口!K78</f>
        <v>499.15</v>
      </c>
      <c r="D65" s="7">
        <f>资本存量!K78</f>
        <v>11182.625603457358</v>
      </c>
      <c r="E65" s="7">
        <f>能源消耗量!L78</f>
        <v>5336.2</v>
      </c>
      <c r="F65" s="7">
        <f t="shared" si="12"/>
        <v>22273.682880721335</v>
      </c>
      <c r="G65" s="7">
        <f t="shared" si="13"/>
        <v>249150.72249999997</v>
      </c>
      <c r="H65" s="7">
        <f t="shared" si="14"/>
        <v>125051115.38710004</v>
      </c>
      <c r="I65" s="7">
        <f t="shared" si="15"/>
        <v>28475030.439999998</v>
      </c>
      <c r="J65" s="7">
        <f t="shared" si="16"/>
        <v>5581807.5699657397</v>
      </c>
      <c r="K65" s="7">
        <f t="shared" si="17"/>
        <v>2663564.23</v>
      </c>
      <c r="L65" s="7">
        <f t="shared" si="18"/>
        <v>59672726.745169155</v>
      </c>
      <c r="M65" s="7">
        <f t="shared" si="19"/>
        <v>496116949.07093865</v>
      </c>
      <c r="N65" s="7">
        <f t="shared" si="20"/>
        <v>11117908.809912054</v>
      </c>
      <c r="O65" s="7">
        <f t="shared" si="21"/>
        <v>249078256.46524423</v>
      </c>
      <c r="P65" s="7">
        <f t="shared" si="22"/>
        <v>118856826.58810519</v>
      </c>
      <c r="Q65">
        <v>7</v>
      </c>
      <c r="R65">
        <v>4</v>
      </c>
      <c r="S65">
        <f>GDP!K78</f>
        <v>2752.1</v>
      </c>
      <c r="V65">
        <f t="shared" si="23"/>
        <v>-0.99987964791255068</v>
      </c>
    </row>
    <row r="66" spans="1:22" x14ac:dyDescent="0.25">
      <c r="A66" t="s">
        <v>91</v>
      </c>
      <c r="B66" s="7">
        <f>-CO2排放量!K79*100</f>
        <v>-19337.849047333333</v>
      </c>
      <c r="C66" s="7">
        <f>就业人口!K79</f>
        <v>503.1</v>
      </c>
      <c r="D66" s="7">
        <f>资本存量!K79</f>
        <v>13642.020345525452</v>
      </c>
      <c r="E66" s="7">
        <f>能源消耗量!L79</f>
        <v>5711.9</v>
      </c>
      <c r="F66" s="7">
        <f t="shared" ref="F66:F81" si="24">S66-B66</f>
        <v>22249.619047333334</v>
      </c>
      <c r="G66" s="7">
        <f t="shared" ref="G66:G81" si="25">C66*C66</f>
        <v>253109.61000000002</v>
      </c>
      <c r="H66" s="7">
        <f t="shared" ref="H66:H81" si="26">D66*D66</f>
        <v>186104719.10773039</v>
      </c>
      <c r="I66" s="7">
        <f t="shared" ref="I66:I81" si="27">E66*E66</f>
        <v>32625801.609999996</v>
      </c>
      <c r="J66" s="7">
        <f t="shared" ref="J66:J81" si="28">C66*D66</f>
        <v>6863300.4358338555</v>
      </c>
      <c r="K66" s="7">
        <f t="shared" ref="K66:K81" si="29">C66*E66</f>
        <v>2873656.89</v>
      </c>
      <c r="L66" s="7">
        <f t="shared" ref="L66:L81" si="30">D66*E66</f>
        <v>77921856.011606827</v>
      </c>
      <c r="M66" s="7">
        <f t="shared" ref="M66:M81" si="31">F66*F66</f>
        <v>495045547.75145829</v>
      </c>
      <c r="N66" s="7">
        <f t="shared" ref="N66:N81" si="32">C66*F66</f>
        <v>11193783.342713401</v>
      </c>
      <c r="O66" s="7">
        <f t="shared" ref="O66:O81" si="33">D66*F66</f>
        <v>303529755.72391194</v>
      </c>
      <c r="P66" s="7">
        <f t="shared" ref="P66:P81" si="34">E66*F66</f>
        <v>127087599.03646326</v>
      </c>
      <c r="Q66">
        <v>7</v>
      </c>
      <c r="R66">
        <v>5</v>
      </c>
      <c r="S66">
        <f>GDP!K79</f>
        <v>2911.77</v>
      </c>
      <c r="V66">
        <f t="shared" ref="V66:V81" si="35">-($U$2+$U$4*B66*(-1)+$U$8*C66+$U$10*D66+$U$12*E66+$U$6*S66)/($U$14+$U$16*S66+$U$18*C66+$U$20*D66+$U$22*E66+$U$6*B66*(-1))</f>
        <v>-0.99985889435347886</v>
      </c>
    </row>
    <row r="67" spans="1:22" x14ac:dyDescent="0.25">
      <c r="A67" t="s">
        <v>92</v>
      </c>
      <c r="B67" s="7">
        <f>-CO2排放量!K80*100</f>
        <v>-18971.723426876331</v>
      </c>
      <c r="C67" s="7">
        <f>就业人口!K80</f>
        <v>509.4</v>
      </c>
      <c r="D67" s="7">
        <f>资本存量!K80</f>
        <v>16167.849692355008</v>
      </c>
      <c r="E67" s="7">
        <f>能源消耗量!L80</f>
        <v>5787.5</v>
      </c>
      <c r="F67" s="7">
        <f t="shared" si="24"/>
        <v>22140.313426876332</v>
      </c>
      <c r="G67" s="7">
        <f t="shared" si="25"/>
        <v>259488.36</v>
      </c>
      <c r="H67" s="7">
        <f t="shared" si="26"/>
        <v>261399363.67458394</v>
      </c>
      <c r="I67" s="7">
        <f t="shared" si="27"/>
        <v>33495156.25</v>
      </c>
      <c r="J67" s="7">
        <f t="shared" si="28"/>
        <v>8235902.6332856407</v>
      </c>
      <c r="K67" s="7">
        <f t="shared" si="29"/>
        <v>2948152.5</v>
      </c>
      <c r="L67" s="7">
        <f t="shared" si="30"/>
        <v>93571430.09450461</v>
      </c>
      <c r="M67" s="7">
        <f t="shared" si="31"/>
        <v>490193478.64032036</v>
      </c>
      <c r="N67" s="7">
        <f t="shared" si="32"/>
        <v>11278275.659650803</v>
      </c>
      <c r="O67" s="7">
        <f t="shared" si="33"/>
        <v>357961259.62736595</v>
      </c>
      <c r="P67" s="7">
        <f t="shared" si="34"/>
        <v>128137063.95804676</v>
      </c>
      <c r="Q67">
        <v>7</v>
      </c>
      <c r="R67">
        <v>6</v>
      </c>
      <c r="S67">
        <f>GDP!K80</f>
        <v>3168.59</v>
      </c>
      <c r="V67">
        <f t="shared" si="35"/>
        <v>-0.99982635020916388</v>
      </c>
    </row>
    <row r="68" spans="1:22" x14ac:dyDescent="0.25">
      <c r="A68" t="s">
        <v>93</v>
      </c>
      <c r="B68" s="7">
        <f>-CO2排放量!K81*100</f>
        <v>-22623.797925305</v>
      </c>
      <c r="C68" s="7">
        <f>就业人口!K81</f>
        <v>514.4</v>
      </c>
      <c r="D68" s="7">
        <f>资本存量!K81</f>
        <v>18429.114921888926</v>
      </c>
      <c r="E68" s="7">
        <f>能源消耗量!L81</f>
        <v>6798.2</v>
      </c>
      <c r="F68" s="7">
        <f t="shared" si="24"/>
        <v>26067.357925305001</v>
      </c>
      <c r="G68" s="7">
        <f t="shared" si="25"/>
        <v>264607.35999999999</v>
      </c>
      <c r="H68" s="7">
        <f t="shared" si="26"/>
        <v>339632276.80418909</v>
      </c>
      <c r="I68" s="7">
        <f t="shared" si="27"/>
        <v>46215523.239999995</v>
      </c>
      <c r="J68" s="7">
        <f t="shared" si="28"/>
        <v>9479936.7158196624</v>
      </c>
      <c r="K68" s="7">
        <f t="shared" si="29"/>
        <v>3496994.0799999996</v>
      </c>
      <c r="L68" s="7">
        <f t="shared" si="30"/>
        <v>125284809.0619853</v>
      </c>
      <c r="M68" s="7">
        <f t="shared" si="31"/>
        <v>679507149.20596147</v>
      </c>
      <c r="N68" s="7">
        <f t="shared" si="32"/>
        <v>13409048.916776892</v>
      </c>
      <c r="O68" s="7">
        <f t="shared" si="33"/>
        <v>480398334.91545796</v>
      </c>
      <c r="P68" s="7">
        <f t="shared" si="34"/>
        <v>177211112.64780846</v>
      </c>
      <c r="Q68">
        <v>7</v>
      </c>
      <c r="R68">
        <v>7</v>
      </c>
      <c r="S68">
        <f>GDP!K81</f>
        <v>3443.56</v>
      </c>
      <c r="V68">
        <f t="shared" si="35"/>
        <v>-0.99986200346611809</v>
      </c>
    </row>
    <row r="69" spans="1:22" x14ac:dyDescent="0.25">
      <c r="A69" t="s">
        <v>94</v>
      </c>
      <c r="B69" s="7">
        <f>-CO2排放量!K82*100</f>
        <v>-23593.472809333332</v>
      </c>
      <c r="C69" s="7">
        <f>就业人口!K82</f>
        <v>518.36</v>
      </c>
      <c r="D69" s="7">
        <f>资本存量!K82</f>
        <v>19779.263789387591</v>
      </c>
      <c r="E69" s="7">
        <f>能源消耗量!L82</f>
        <v>7530.2</v>
      </c>
      <c r="F69" s="7">
        <f t="shared" si="24"/>
        <v>27103.682809333332</v>
      </c>
      <c r="G69" s="7">
        <f t="shared" si="25"/>
        <v>268697.08960000001</v>
      </c>
      <c r="H69" s="7">
        <f t="shared" si="26"/>
        <v>391219276.05017918</v>
      </c>
      <c r="I69" s="7">
        <f t="shared" si="27"/>
        <v>56703912.039999999</v>
      </c>
      <c r="J69" s="7">
        <f t="shared" si="28"/>
        <v>10252779.177866952</v>
      </c>
      <c r="K69" s="7">
        <f t="shared" si="29"/>
        <v>3903354.4720000001</v>
      </c>
      <c r="L69" s="7">
        <f t="shared" si="30"/>
        <v>148941812.18684644</v>
      </c>
      <c r="M69" s="7">
        <f t="shared" si="31"/>
        <v>734609621.82895112</v>
      </c>
      <c r="N69" s="7">
        <f t="shared" si="32"/>
        <v>14049465.021046026</v>
      </c>
      <c r="O69" s="7">
        <f t="shared" si="33"/>
        <v>536090891.94969368</v>
      </c>
      <c r="P69" s="7">
        <f t="shared" si="34"/>
        <v>204096152.29084185</v>
      </c>
      <c r="Q69">
        <v>7</v>
      </c>
      <c r="R69">
        <v>8</v>
      </c>
      <c r="S69">
        <f>GDP!K82</f>
        <v>3510.21</v>
      </c>
      <c r="V69">
        <f t="shared" si="35"/>
        <v>-0.99986267352581304</v>
      </c>
    </row>
    <row r="70" spans="1:22" x14ac:dyDescent="0.25">
      <c r="A70" t="s">
        <v>95</v>
      </c>
      <c r="B70" s="7">
        <f>-CO2排放量!K83*100</f>
        <v>-25189.874125555558</v>
      </c>
      <c r="C70" s="7">
        <f>就业人口!K83</f>
        <v>523.29999999999995</v>
      </c>
      <c r="D70" s="7">
        <f>资本存量!K83</f>
        <v>20653.551165606383</v>
      </c>
      <c r="E70" s="7">
        <f>能源消耗量!L83</f>
        <v>8166.7</v>
      </c>
      <c r="F70" s="7">
        <f t="shared" si="24"/>
        <v>28938.354125555557</v>
      </c>
      <c r="G70" s="7">
        <f t="shared" si="25"/>
        <v>273842.88999999996</v>
      </c>
      <c r="H70" s="7">
        <f t="shared" si="26"/>
        <v>426569175.75032079</v>
      </c>
      <c r="I70" s="7">
        <f t="shared" si="27"/>
        <v>66694988.890000001</v>
      </c>
      <c r="J70" s="7">
        <f t="shared" si="28"/>
        <v>10808003.324961819</v>
      </c>
      <c r="K70" s="7">
        <f t="shared" si="29"/>
        <v>4273634.1099999994</v>
      </c>
      <c r="L70" s="7">
        <f t="shared" si="30"/>
        <v>168671356.30415764</v>
      </c>
      <c r="M70" s="7">
        <f t="shared" si="31"/>
        <v>837428339.49605834</v>
      </c>
      <c r="N70" s="7">
        <f t="shared" si="32"/>
        <v>15143440.713903222</v>
      </c>
      <c r="O70" s="7">
        <f t="shared" si="33"/>
        <v>597679777.58059824</v>
      </c>
      <c r="P70" s="7">
        <f t="shared" si="34"/>
        <v>236330856.63717458</v>
      </c>
      <c r="Q70">
        <v>7</v>
      </c>
      <c r="R70">
        <v>9</v>
      </c>
      <c r="S70">
        <f>GDP!K83</f>
        <v>3748.48</v>
      </c>
      <c r="V70">
        <f t="shared" si="35"/>
        <v>-0.99987606856159816</v>
      </c>
    </row>
    <row r="71" spans="1:22" x14ac:dyDescent="0.25">
      <c r="A71" t="s">
        <v>96</v>
      </c>
      <c r="B71" s="7">
        <f>-CO2排放量!K84*100</f>
        <v>-25951.291147777778</v>
      </c>
      <c r="C71" s="7">
        <f>就业人口!K84</f>
        <v>559.1</v>
      </c>
      <c r="D71" s="7">
        <f>资本存量!K84</f>
        <v>21577.015553708174</v>
      </c>
      <c r="E71" s="7">
        <f>能源消耗量!L84</f>
        <v>8581.7999999999993</v>
      </c>
      <c r="F71" s="7">
        <f t="shared" si="24"/>
        <v>29871.841147777777</v>
      </c>
      <c r="G71" s="7">
        <f t="shared" si="25"/>
        <v>312592.81</v>
      </c>
      <c r="H71" s="7">
        <f t="shared" si="26"/>
        <v>465567600.20496446</v>
      </c>
      <c r="I71" s="7">
        <f t="shared" si="27"/>
        <v>73647291.239999995</v>
      </c>
      <c r="J71" s="7">
        <f t="shared" si="28"/>
        <v>12063709.39607824</v>
      </c>
      <c r="K71" s="7">
        <f t="shared" si="29"/>
        <v>4798084.38</v>
      </c>
      <c r="L71" s="7">
        <f t="shared" si="30"/>
        <v>185169632.07881278</v>
      </c>
      <c r="M71" s="7">
        <f t="shared" si="31"/>
        <v>892326893.55806959</v>
      </c>
      <c r="N71" s="7">
        <f t="shared" si="32"/>
        <v>16701346.385722555</v>
      </c>
      <c r="O71" s="7">
        <f t="shared" si="33"/>
        <v>644545181.06350088</v>
      </c>
      <c r="P71" s="7">
        <f t="shared" si="34"/>
        <v>256354166.3619993</v>
      </c>
      <c r="Q71">
        <v>7</v>
      </c>
      <c r="R71">
        <v>10</v>
      </c>
      <c r="S71">
        <f>GDP!K84</f>
        <v>3920.55</v>
      </c>
      <c r="V71">
        <f t="shared" si="35"/>
        <v>-0.99987763188174095</v>
      </c>
    </row>
    <row r="72" spans="1:22" x14ac:dyDescent="0.25">
      <c r="A72" t="s">
        <v>97</v>
      </c>
      <c r="B72" s="7">
        <f>-CO2排放量!K85*100</f>
        <v>-28631.109839333334</v>
      </c>
      <c r="C72" s="7">
        <f>就业人口!K85</f>
        <v>1246.1199999999999</v>
      </c>
      <c r="D72" s="7">
        <f>资本存量!K85</f>
        <v>14155.505626120583</v>
      </c>
      <c r="E72" s="7">
        <f>能源消耗量!L85</f>
        <v>9474.5</v>
      </c>
      <c r="F72" s="7">
        <f t="shared" si="24"/>
        <v>35241.159839333333</v>
      </c>
      <c r="G72" s="7">
        <f t="shared" si="25"/>
        <v>1552815.0543999998</v>
      </c>
      <c r="H72" s="7">
        <f t="shared" si="26"/>
        <v>200378339.53113148</v>
      </c>
      <c r="I72" s="7">
        <f t="shared" si="27"/>
        <v>89766150.25</v>
      </c>
      <c r="J72" s="7">
        <f t="shared" si="28"/>
        <v>17639458.67082138</v>
      </c>
      <c r="K72" s="7">
        <f t="shared" si="29"/>
        <v>11806363.939999999</v>
      </c>
      <c r="L72" s="7">
        <f t="shared" si="30"/>
        <v>134116338.05467947</v>
      </c>
      <c r="M72" s="7">
        <f t="shared" si="31"/>
        <v>1241939346.8214407</v>
      </c>
      <c r="N72" s="7">
        <f t="shared" si="32"/>
        <v>43914714.098990053</v>
      </c>
      <c r="O72" s="7">
        <f t="shared" si="33"/>
        <v>498856436.37669772</v>
      </c>
      <c r="P72" s="7">
        <f t="shared" si="34"/>
        <v>333892368.89776367</v>
      </c>
      <c r="Q72">
        <v>8</v>
      </c>
      <c r="R72">
        <v>1</v>
      </c>
      <c r="S72">
        <f>GDP!K85</f>
        <v>6610.05</v>
      </c>
      <c r="V72">
        <f t="shared" si="35"/>
        <v>-0.99992883631595086</v>
      </c>
    </row>
    <row r="73" spans="1:22" x14ac:dyDescent="0.25">
      <c r="A73" t="s">
        <v>98</v>
      </c>
      <c r="B73" s="7">
        <f>-CO2排放量!K86*100</f>
        <v>-33344.079964666664</v>
      </c>
      <c r="C73" s="7">
        <f>就业人口!K86</f>
        <v>1257.8499999999999</v>
      </c>
      <c r="D73" s="7">
        <f>资本存量!K86</f>
        <v>18955.357086013006</v>
      </c>
      <c r="E73" s="7">
        <f>能源消耗量!L86</f>
        <v>11293.7</v>
      </c>
      <c r="F73" s="7">
        <f t="shared" si="24"/>
        <v>40849.389964666661</v>
      </c>
      <c r="G73" s="7">
        <f t="shared" si="25"/>
        <v>1582186.6224999998</v>
      </c>
      <c r="H73" s="7">
        <f t="shared" si="26"/>
        <v>359305562.25826347</v>
      </c>
      <c r="I73" s="7">
        <f t="shared" si="27"/>
        <v>127547659.69000001</v>
      </c>
      <c r="J73" s="7">
        <f t="shared" si="28"/>
        <v>23842995.910641458</v>
      </c>
      <c r="K73" s="7">
        <f t="shared" si="29"/>
        <v>14205780.545</v>
      </c>
      <c r="L73" s="7">
        <f t="shared" si="30"/>
        <v>214076116.32230508</v>
      </c>
      <c r="M73" s="7">
        <f t="shared" si="31"/>
        <v>1668672660.4854093</v>
      </c>
      <c r="N73" s="7">
        <f t="shared" si="32"/>
        <v>51382405.167055957</v>
      </c>
      <c r="O73" s="7">
        <f t="shared" si="33"/>
        <v>774314773.52605271</v>
      </c>
      <c r="P73" s="7">
        <f t="shared" si="34"/>
        <v>461340755.4439559</v>
      </c>
      <c r="Q73">
        <v>8</v>
      </c>
      <c r="R73">
        <v>2</v>
      </c>
      <c r="S73">
        <f>GDP!K86</f>
        <v>7505.31</v>
      </c>
      <c r="V73">
        <f t="shared" si="35"/>
        <v>-0.99993510028497978</v>
      </c>
    </row>
    <row r="74" spans="1:22" x14ac:dyDescent="0.25">
      <c r="A74" t="s">
        <v>99</v>
      </c>
      <c r="B74" s="7">
        <f>-CO2排放量!K87*100</f>
        <v>-33633.677155333338</v>
      </c>
      <c r="C74" s="7">
        <f>就业人口!K87</f>
        <v>1271.9000000000001</v>
      </c>
      <c r="D74" s="7">
        <f>资本存量!K87</f>
        <v>24867.947105755757</v>
      </c>
      <c r="E74" s="7">
        <f>能源消耗量!L87</f>
        <v>13631.8</v>
      </c>
      <c r="F74" s="7">
        <f t="shared" si="24"/>
        <v>42077.517155333335</v>
      </c>
      <c r="G74" s="7">
        <f t="shared" si="25"/>
        <v>1617729.6100000003</v>
      </c>
      <c r="H74" s="7">
        <f t="shared" si="26"/>
        <v>618414793.25466609</v>
      </c>
      <c r="I74" s="7">
        <f t="shared" si="27"/>
        <v>185825971.23999998</v>
      </c>
      <c r="J74" s="7">
        <f t="shared" si="28"/>
        <v>31629541.92381075</v>
      </c>
      <c r="K74" s="7">
        <f t="shared" si="29"/>
        <v>17338286.420000002</v>
      </c>
      <c r="L74" s="7">
        <f t="shared" si="30"/>
        <v>338994881.35624129</v>
      </c>
      <c r="M74" s="7">
        <f t="shared" si="31"/>
        <v>1770517449.957371</v>
      </c>
      <c r="N74" s="7">
        <f t="shared" si="32"/>
        <v>53518394.069868475</v>
      </c>
      <c r="O74" s="7">
        <f t="shared" si="33"/>
        <v>1046381470.9603598</v>
      </c>
      <c r="P74" s="7">
        <f t="shared" si="34"/>
        <v>573592298.35807288</v>
      </c>
      <c r="Q74">
        <v>8</v>
      </c>
      <c r="R74">
        <v>3</v>
      </c>
      <c r="S74">
        <f>GDP!K87</f>
        <v>8443.84</v>
      </c>
      <c r="V74">
        <f t="shared" si="35"/>
        <v>-0.99992517874707665</v>
      </c>
    </row>
    <row r="75" spans="1:22" x14ac:dyDescent="0.25">
      <c r="A75" t="s">
        <v>100</v>
      </c>
      <c r="B75" s="7">
        <f>-CO2排放量!K88*100</f>
        <v>-36625.966504666678</v>
      </c>
      <c r="C75" s="7">
        <f>就业人口!K88</f>
        <v>1276.21</v>
      </c>
      <c r="D75" s="7">
        <f>资本存量!K88</f>
        <v>31928.366083603207</v>
      </c>
      <c r="E75" s="7">
        <f>能源消耗量!L88</f>
        <v>14926.1</v>
      </c>
      <c r="F75" s="7">
        <f t="shared" si="24"/>
        <v>45899.426504666677</v>
      </c>
      <c r="G75" s="7">
        <f t="shared" si="25"/>
        <v>1628711.9641</v>
      </c>
      <c r="H75" s="7">
        <f t="shared" si="26"/>
        <v>1019420560.7685835</v>
      </c>
      <c r="I75" s="7">
        <f t="shared" si="27"/>
        <v>222788461.21000001</v>
      </c>
      <c r="J75" s="7">
        <f t="shared" si="28"/>
        <v>40747300.079555251</v>
      </c>
      <c r="K75" s="7">
        <f t="shared" si="29"/>
        <v>19048838.081</v>
      </c>
      <c r="L75" s="7">
        <f t="shared" si="30"/>
        <v>476565985.00046986</v>
      </c>
      <c r="M75" s="7">
        <f t="shared" si="31"/>
        <v>2106757353.4572978</v>
      </c>
      <c r="N75" s="7">
        <f t="shared" si="32"/>
        <v>58577307.099520661</v>
      </c>
      <c r="O75" s="7">
        <f t="shared" si="33"/>
        <v>1465493692.4684377</v>
      </c>
      <c r="P75" s="7">
        <f t="shared" si="34"/>
        <v>685099429.95130527</v>
      </c>
      <c r="Q75">
        <v>8</v>
      </c>
      <c r="R75">
        <v>4</v>
      </c>
      <c r="S75">
        <f>GDP!K88</f>
        <v>9273.4599999999991</v>
      </c>
      <c r="V75">
        <f t="shared" si="35"/>
        <v>-0.99991953198593653</v>
      </c>
    </row>
    <row r="76" spans="1:22" x14ac:dyDescent="0.25">
      <c r="A76" t="s">
        <v>101</v>
      </c>
      <c r="B76" s="7">
        <f>-CO2排放量!K89*100</f>
        <v>-37909.180007333329</v>
      </c>
      <c r="C76" s="7">
        <f>就业人口!K89</f>
        <v>1305.42</v>
      </c>
      <c r="D76" s="7">
        <f>资本存量!K89</f>
        <v>39676.273539577298</v>
      </c>
      <c r="E76" s="7">
        <f>能源消耗量!L89</f>
        <v>15666.1</v>
      </c>
      <c r="F76" s="7">
        <f t="shared" si="24"/>
        <v>47233.980007333332</v>
      </c>
      <c r="G76" s="7">
        <f t="shared" si="25"/>
        <v>1704121.3764000002</v>
      </c>
      <c r="H76" s="7">
        <f t="shared" si="26"/>
        <v>1574206681.9873617</v>
      </c>
      <c r="I76" s="7">
        <f t="shared" si="27"/>
        <v>245426689.21000001</v>
      </c>
      <c r="J76" s="7">
        <f t="shared" si="28"/>
        <v>51794201.004034996</v>
      </c>
      <c r="K76" s="7">
        <f t="shared" si="29"/>
        <v>20450840.262000002</v>
      </c>
      <c r="L76" s="7">
        <f t="shared" si="30"/>
        <v>621572468.89837193</v>
      </c>
      <c r="M76" s="7">
        <f t="shared" si="31"/>
        <v>2231048867.3331647</v>
      </c>
      <c r="N76" s="7">
        <f t="shared" si="32"/>
        <v>61660182.181173079</v>
      </c>
      <c r="O76" s="7">
        <f t="shared" si="33"/>
        <v>1874068311.1338825</v>
      </c>
      <c r="P76" s="7">
        <f t="shared" si="34"/>
        <v>739972254.19288468</v>
      </c>
      <c r="Q76">
        <v>8</v>
      </c>
      <c r="R76">
        <v>5</v>
      </c>
      <c r="S76">
        <f>GDP!K89</f>
        <v>9324.7999999999993</v>
      </c>
      <c r="V76">
        <f t="shared" si="35"/>
        <v>-0.99989416862762759</v>
      </c>
    </row>
    <row r="77" spans="1:22" x14ac:dyDescent="0.25">
      <c r="A77" t="s">
        <v>102</v>
      </c>
      <c r="B77" s="7">
        <f>-CO2排放量!K90*100</f>
        <v>-41085.326431333327</v>
      </c>
      <c r="C77" s="7">
        <f>就业人口!K90</f>
        <v>1332.66</v>
      </c>
      <c r="D77" s="7">
        <f>资本存量!K90</f>
        <v>46154.881179777876</v>
      </c>
      <c r="E77" s="7">
        <f>能源消耗量!L90</f>
        <v>16302.2</v>
      </c>
      <c r="F77" s="7">
        <f t="shared" si="24"/>
        <v>50735.026431333332</v>
      </c>
      <c r="G77" s="7">
        <f t="shared" si="25"/>
        <v>1775982.6756000002</v>
      </c>
      <c r="H77" s="7">
        <f t="shared" si="26"/>
        <v>2130273056.719414</v>
      </c>
      <c r="I77" s="7">
        <f t="shared" si="27"/>
        <v>265761724.84000003</v>
      </c>
      <c r="J77" s="7">
        <f t="shared" si="28"/>
        <v>61508763.95304279</v>
      </c>
      <c r="K77" s="7">
        <f t="shared" si="29"/>
        <v>21725289.852000002</v>
      </c>
      <c r="L77" s="7">
        <f t="shared" si="30"/>
        <v>752426103.96897495</v>
      </c>
      <c r="M77" s="7">
        <f t="shared" si="31"/>
        <v>2574042906.9880919</v>
      </c>
      <c r="N77" s="7">
        <f t="shared" si="32"/>
        <v>67612540.323980689</v>
      </c>
      <c r="O77" s="7">
        <f t="shared" si="33"/>
        <v>2341669116.5910797</v>
      </c>
      <c r="P77" s="7">
        <f t="shared" si="34"/>
        <v>827092547.88888228</v>
      </c>
      <c r="Q77">
        <v>8</v>
      </c>
      <c r="R77">
        <v>6</v>
      </c>
      <c r="S77">
        <f>GDP!K90</f>
        <v>9649.7000000000007</v>
      </c>
      <c r="V77">
        <f t="shared" si="35"/>
        <v>-0.99988256582584623</v>
      </c>
    </row>
    <row r="78" spans="1:22" x14ac:dyDescent="0.25">
      <c r="A78" t="s">
        <v>103</v>
      </c>
      <c r="B78" s="7">
        <f>-CO2排放量!K91*100</f>
        <v>-45226.48373</v>
      </c>
      <c r="C78" s="7">
        <f>就业人口!K91</f>
        <v>1349.79</v>
      </c>
      <c r="D78" s="7">
        <f>资本存量!K91</f>
        <v>53813.130286519205</v>
      </c>
      <c r="E78" s="7">
        <f>能源消耗量!L91</f>
        <v>17386.3</v>
      </c>
      <c r="F78" s="7">
        <f t="shared" si="24"/>
        <v>56108.443729999999</v>
      </c>
      <c r="G78" s="7">
        <f t="shared" si="25"/>
        <v>1821933.0440999998</v>
      </c>
      <c r="H78" s="7">
        <f t="shared" si="26"/>
        <v>2895852991.2338905</v>
      </c>
      <c r="I78" s="7">
        <f t="shared" si="27"/>
        <v>302283427.69</v>
      </c>
      <c r="J78" s="7">
        <f t="shared" si="28"/>
        <v>72636425.129440755</v>
      </c>
      <c r="K78" s="7">
        <f t="shared" si="29"/>
        <v>23467853.876999997</v>
      </c>
      <c r="L78" s="7">
        <f t="shared" si="30"/>
        <v>935611227.10050881</v>
      </c>
      <c r="M78" s="7">
        <f t="shared" si="31"/>
        <v>3148157457.8025761</v>
      </c>
      <c r="N78" s="7">
        <f t="shared" si="32"/>
        <v>75734616.262316704</v>
      </c>
      <c r="O78" s="7">
        <f t="shared" si="33"/>
        <v>3019370992.6163216</v>
      </c>
      <c r="P78" s="7">
        <f t="shared" si="34"/>
        <v>975518235.22289896</v>
      </c>
      <c r="Q78">
        <v>8</v>
      </c>
      <c r="R78">
        <v>7</v>
      </c>
      <c r="S78">
        <f>GDP!K91</f>
        <v>10881.96</v>
      </c>
      <c r="V78">
        <f t="shared" si="35"/>
        <v>-0.9998789928987325</v>
      </c>
    </row>
    <row r="79" spans="1:22" x14ac:dyDescent="0.25">
      <c r="A79" t="s">
        <v>104</v>
      </c>
      <c r="B79" s="7">
        <f>-CO2排放量!K92*100</f>
        <v>-48094.605451333329</v>
      </c>
      <c r="C79" s="7">
        <f>就业人口!K92</f>
        <v>1343.95</v>
      </c>
      <c r="D79" s="7">
        <f>资本存量!K92</f>
        <v>58236.157938653363</v>
      </c>
      <c r="E79" s="7">
        <f>能源消耗量!L92</f>
        <v>17694</v>
      </c>
      <c r="F79" s="7">
        <f t="shared" si="24"/>
        <v>60903.995451333329</v>
      </c>
      <c r="G79" s="7">
        <f t="shared" si="25"/>
        <v>1806201.6025</v>
      </c>
      <c r="H79" s="7">
        <f t="shared" si="26"/>
        <v>3391450091.4557791</v>
      </c>
      <c r="I79" s="7">
        <f t="shared" si="27"/>
        <v>313077636</v>
      </c>
      <c r="J79" s="7">
        <f t="shared" si="28"/>
        <v>78266484.461653188</v>
      </c>
      <c r="K79" s="7">
        <f t="shared" si="29"/>
        <v>23779851.300000001</v>
      </c>
      <c r="L79" s="7">
        <f t="shared" si="30"/>
        <v>1030430578.5665326</v>
      </c>
      <c r="M79" s="7">
        <f t="shared" si="31"/>
        <v>3709296661.9360309</v>
      </c>
      <c r="N79" s="7">
        <f t="shared" si="32"/>
        <v>81851924.686819434</v>
      </c>
      <c r="O79" s="7">
        <f t="shared" si="33"/>
        <v>3546814698.1988735</v>
      </c>
      <c r="P79" s="7">
        <f t="shared" si="34"/>
        <v>1077635295.515892</v>
      </c>
      <c r="Q79">
        <v>8</v>
      </c>
      <c r="R79">
        <v>8</v>
      </c>
      <c r="S79">
        <f>GDP!K92</f>
        <v>12809.39</v>
      </c>
      <c r="V79">
        <f t="shared" si="35"/>
        <v>-0.99989181683561879</v>
      </c>
    </row>
    <row r="80" spans="1:22" x14ac:dyDescent="0.25">
      <c r="A80" t="s">
        <v>105</v>
      </c>
      <c r="B80" s="7">
        <f>-CO2排放量!K93*100</f>
        <v>-51930.51657266666</v>
      </c>
      <c r="C80" s="7">
        <f>就业人口!K93</f>
        <v>1355.06</v>
      </c>
      <c r="D80" s="7">
        <f>资本存量!K93</f>
        <v>63004.578715401731</v>
      </c>
      <c r="E80" s="7">
        <f>能源消耗量!L93</f>
        <v>18489.8</v>
      </c>
      <c r="F80" s="7">
        <f t="shared" si="24"/>
        <v>65527.626572666661</v>
      </c>
      <c r="G80" s="7">
        <f t="shared" si="25"/>
        <v>1836187.6035999998</v>
      </c>
      <c r="H80" s="7">
        <f t="shared" si="26"/>
        <v>3969576939.1052527</v>
      </c>
      <c r="I80" s="7">
        <f t="shared" si="27"/>
        <v>341872704.03999996</v>
      </c>
      <c r="J80" s="7">
        <f t="shared" si="28"/>
        <v>85374984.434092268</v>
      </c>
      <c r="K80" s="7">
        <f t="shared" si="29"/>
        <v>25054788.387999997</v>
      </c>
      <c r="L80" s="7">
        <f t="shared" si="30"/>
        <v>1164942059.5320349</v>
      </c>
      <c r="M80" s="7">
        <f t="shared" si="31"/>
        <v>4293869844.24685</v>
      </c>
      <c r="N80" s="7">
        <f t="shared" si="32"/>
        <v>88793865.663557678</v>
      </c>
      <c r="O80" s="7">
        <f t="shared" si="33"/>
        <v>4128540506.4310269</v>
      </c>
      <c r="P80" s="7">
        <f t="shared" si="34"/>
        <v>1211592709.803292</v>
      </c>
      <c r="Q80">
        <v>8</v>
      </c>
      <c r="R80">
        <v>9</v>
      </c>
      <c r="S80">
        <f>GDP!K93</f>
        <v>13597.11</v>
      </c>
      <c r="V80">
        <f t="shared" si="35"/>
        <v>-0.99989927451492411</v>
      </c>
    </row>
    <row r="81" spans="1:22" x14ac:dyDescent="0.25">
      <c r="A81" t="s">
        <v>106</v>
      </c>
      <c r="B81" s="7">
        <f>-CO2排放量!K94*100</f>
        <v>-55546.734669999998</v>
      </c>
      <c r="C81" s="7">
        <f>就业人口!K94</f>
        <v>1369.07</v>
      </c>
      <c r="D81" s="7">
        <f>资本存量!K94</f>
        <v>69449.204036987227</v>
      </c>
      <c r="E81" s="7">
        <f>能源消耗量!L94</f>
        <v>18981.8</v>
      </c>
      <c r="F81" s="7">
        <f t="shared" si="24"/>
        <v>69344.314669999992</v>
      </c>
      <c r="G81" s="7">
        <f t="shared" si="25"/>
        <v>1874352.6648999997</v>
      </c>
      <c r="H81" s="7">
        <f t="shared" si="26"/>
        <v>4823191941.3710833</v>
      </c>
      <c r="I81" s="7">
        <f t="shared" si="27"/>
        <v>360308731.23999995</v>
      </c>
      <c r="J81" s="7">
        <f t="shared" si="28"/>
        <v>95080821.770918101</v>
      </c>
      <c r="K81" s="7">
        <f t="shared" si="29"/>
        <v>25987412.925999999</v>
      </c>
      <c r="L81" s="7">
        <f t="shared" si="30"/>
        <v>1318270901.1892841</v>
      </c>
      <c r="M81" s="7">
        <f t="shared" si="31"/>
        <v>4808633977.0519762</v>
      </c>
      <c r="N81" s="7">
        <f t="shared" si="32"/>
        <v>94937220.885256886</v>
      </c>
      <c r="O81" s="7">
        <f t="shared" si="33"/>
        <v>4815907458.3218756</v>
      </c>
      <c r="P81" s="7">
        <f t="shared" si="34"/>
        <v>1316279912.2030058</v>
      </c>
      <c r="Q81">
        <v>8</v>
      </c>
      <c r="R81">
        <v>10</v>
      </c>
      <c r="S81">
        <f>GDP!K94</f>
        <v>13797.58</v>
      </c>
      <c r="V81">
        <f t="shared" si="35"/>
        <v>-0.99989174466475916</v>
      </c>
    </row>
    <row r="82" spans="1:22" x14ac:dyDescent="0.25">
      <c r="E82" s="7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E89A-22FB-44C0-96CD-EBAF66A212D5}">
  <dimension ref="A1:Z82"/>
  <sheetViews>
    <sheetView topLeftCell="N1" zoomScaleNormal="100" workbookViewId="0">
      <selection activeCell="AC3" sqref="AC3"/>
    </sheetView>
  </sheetViews>
  <sheetFormatPr defaultColWidth="8.77734375" defaultRowHeight="13.8" x14ac:dyDescent="0.25"/>
  <cols>
    <col min="2" max="2" width="15" bestFit="1" customWidth="1"/>
    <col min="3" max="3" width="12.77734375" bestFit="1" customWidth="1"/>
    <col min="4" max="4" width="15" bestFit="1" customWidth="1"/>
    <col min="5" max="5" width="14" bestFit="1" customWidth="1"/>
    <col min="6" max="6" width="15" bestFit="1" customWidth="1"/>
    <col min="7" max="7" width="17.33203125" bestFit="1" customWidth="1"/>
    <col min="8" max="8" width="21.77734375" bestFit="1" customWidth="1"/>
    <col min="9" max="10" width="19.44140625" bestFit="1" customWidth="1"/>
    <col min="11" max="11" width="18.44140625" bestFit="1" customWidth="1"/>
    <col min="12" max="13" width="20.6640625" bestFit="1" customWidth="1"/>
    <col min="14" max="14" width="18.44140625" bestFit="1" customWidth="1"/>
    <col min="15" max="15" width="20.6640625" bestFit="1" customWidth="1"/>
    <col min="16" max="16" width="19.44140625" bestFit="1" customWidth="1"/>
    <col min="17" max="17" width="19.44140625" customWidth="1"/>
    <col min="19" max="19" width="9" bestFit="1" customWidth="1"/>
    <col min="21" max="21" width="12" bestFit="1" customWidth="1"/>
    <col min="22" max="22" width="16.88671875" customWidth="1"/>
    <col min="24" max="24" width="15.33203125" style="13" customWidth="1"/>
    <col min="25" max="25" width="19.44140625" style="15" customWidth="1"/>
    <col min="26" max="26" width="13.5546875" style="15" customWidth="1"/>
  </cols>
  <sheetData>
    <row r="1" spans="1:26" x14ac:dyDescent="0.25"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t="s">
        <v>109</v>
      </c>
      <c r="R1" s="7" t="s">
        <v>108</v>
      </c>
      <c r="S1" s="7" t="s">
        <v>26</v>
      </c>
      <c r="U1" s="9" t="s">
        <v>107</v>
      </c>
      <c r="X1" t="s">
        <v>120</v>
      </c>
    </row>
    <row r="2" spans="1:26" x14ac:dyDescent="0.25">
      <c r="A2" t="s">
        <v>27</v>
      </c>
      <c r="B2" s="7">
        <f>-CO2排放量!K15</f>
        <v>-170.60296411333337</v>
      </c>
      <c r="C2" s="7">
        <f>就业人口!K15</f>
        <v>1104.33</v>
      </c>
      <c r="D2" s="7">
        <f>资本存量!K15</f>
        <v>28026.255673458301</v>
      </c>
      <c r="E2" s="7">
        <f>能源消耗量!L15</f>
        <v>10489.09</v>
      </c>
      <c r="F2" s="7">
        <f>S2-B2</f>
        <v>19366.292964113331</v>
      </c>
      <c r="G2" s="7">
        <f t="shared" ref="G2:I33" si="0">C2*C2</f>
        <v>1219544.7488999998</v>
      </c>
      <c r="H2" s="7">
        <f t="shared" si="0"/>
        <v>785471007.07405365</v>
      </c>
      <c r="I2" s="7">
        <f t="shared" si="0"/>
        <v>110021009.0281</v>
      </c>
      <c r="J2" s="7">
        <f t="shared" ref="J2:J65" si="1">C2*D2</f>
        <v>30950234.927870203</v>
      </c>
      <c r="K2" s="7">
        <f t="shared" ref="K2:K65" si="2">C2*E2</f>
        <v>11583416.7597</v>
      </c>
      <c r="L2" s="7">
        <f t="shared" ref="L2:L65" si="3">D2*E2</f>
        <v>293969918.12191474</v>
      </c>
      <c r="M2" s="7">
        <f>F2*F2</f>
        <v>375053303.17186546</v>
      </c>
      <c r="N2" s="7">
        <f t="shared" ref="N2:N65" si="4">C2*F2</f>
        <v>21386778.309059273</v>
      </c>
      <c r="O2" s="7">
        <f t="shared" ref="O2:O65" si="5">D2*F2</f>
        <v>542764678.05933678</v>
      </c>
      <c r="P2" s="7">
        <f t="shared" ref="P2:P65" si="6">E2*F2</f>
        <v>203134789.8669515</v>
      </c>
      <c r="Q2">
        <v>1</v>
      </c>
      <c r="R2">
        <v>1</v>
      </c>
      <c r="S2">
        <f>GDP!K15</f>
        <v>19195.689999999999</v>
      </c>
      <c r="U2">
        <f>1+U14</f>
        <v>0.90748090000000003</v>
      </c>
      <c r="V2" s="12">
        <f>-($U$2+$U$4*B2*(-1)+$U$8*C2+$U$10*D2+$U$12*E2+$U$6*S2)/($U$14+$U$16*S2+$U$18*C2+$U$20*D2+$U$22*E2+$U$6*B2*(-1))</f>
        <v>-1.5569765721431272</v>
      </c>
      <c r="X2" s="13">
        <f>-Y2/Z2*V2</f>
        <v>270.69541550197056</v>
      </c>
      <c r="Y2" s="15">
        <v>28156.606534800005</v>
      </c>
      <c r="Z2" s="15">
        <v>161.95020017033335</v>
      </c>
    </row>
    <row r="3" spans="1:26" x14ac:dyDescent="0.25">
      <c r="A3" t="s">
        <v>28</v>
      </c>
      <c r="B3" s="7">
        <f>-CO2排放量!K16</f>
        <v>-168.52072117199998</v>
      </c>
      <c r="C3" s="7">
        <f>就业人口!K16</f>
        <v>1115.5</v>
      </c>
      <c r="D3" s="7">
        <f>资本存量!K16</f>
        <v>30590.115128806305</v>
      </c>
      <c r="E3" s="7">
        <f>能源消耗量!L16</f>
        <v>10573</v>
      </c>
      <c r="F3" s="7">
        <f t="shared" ref="F3:F65" si="7">S3-B3</f>
        <v>20350.240721172002</v>
      </c>
      <c r="G3" s="7">
        <f t="shared" si="0"/>
        <v>1244340.25</v>
      </c>
      <c r="H3" s="7">
        <f t="shared" si="0"/>
        <v>935755143.59362435</v>
      </c>
      <c r="I3" s="7">
        <f t="shared" si="0"/>
        <v>111788329</v>
      </c>
      <c r="J3" s="7">
        <f t="shared" si="1"/>
        <v>34123273.426183432</v>
      </c>
      <c r="K3" s="7">
        <f t="shared" si="2"/>
        <v>11794181.5</v>
      </c>
      <c r="L3" s="7">
        <f t="shared" si="3"/>
        <v>323429287.25686908</v>
      </c>
      <c r="M3" s="7">
        <f t="shared" ref="M3:M66" si="8">F3*F3</f>
        <v>414132297.40964717</v>
      </c>
      <c r="N3" s="7">
        <f t="shared" si="4"/>
        <v>22700693.524467368</v>
      </c>
      <c r="O3" s="7">
        <f t="shared" si="5"/>
        <v>622516206.55957377</v>
      </c>
      <c r="P3" s="7">
        <f t="shared" si="6"/>
        <v>215163095.14495158</v>
      </c>
      <c r="Q3">
        <v>1</v>
      </c>
      <c r="R3">
        <v>2</v>
      </c>
      <c r="S3">
        <f>GDP!K16</f>
        <v>20181.72</v>
      </c>
      <c r="U3" s="9" t="s">
        <v>110</v>
      </c>
      <c r="V3">
        <f t="shared" ref="V3:V66" si="9">-($U$2+$U$4*B3*(-1)+$U$8*C3+$U$10*D3+$U$12*E3+$U$6*S3)/($U$14+$U$16*S3+$U$18*C3+$U$20*D3+$U$22*E3+$U$6*B3*(-1))</f>
        <v>-1.5548685018437864</v>
      </c>
      <c r="X3" s="13">
        <f t="shared" ref="X3:X66" si="10">-Y3/Z3*V3</f>
        <v>270.32890711912319</v>
      </c>
      <c r="Y3" s="15">
        <v>28156.606534800005</v>
      </c>
      <c r="Z3" s="15">
        <v>161.95020017033335</v>
      </c>
    </row>
    <row r="4" spans="1:26" x14ac:dyDescent="0.25">
      <c r="A4" t="s">
        <v>29</v>
      </c>
      <c r="B4" s="7">
        <f>-CO2排放量!K17</f>
        <v>-181.78292098000003</v>
      </c>
      <c r="C4" s="7">
        <f>就业人口!K17</f>
        <v>1137.3499999999999</v>
      </c>
      <c r="D4" s="7">
        <f>资本存量!K17</f>
        <v>33301.254076440899</v>
      </c>
      <c r="E4" s="7">
        <f>能源消耗量!L17</f>
        <v>10890.39</v>
      </c>
      <c r="F4" s="7">
        <f t="shared" si="7"/>
        <v>21999.932920980002</v>
      </c>
      <c r="G4" s="7">
        <f t="shared" si="0"/>
        <v>1293565.0224999997</v>
      </c>
      <c r="H4" s="7">
        <f t="shared" si="0"/>
        <v>1108973523.0636716</v>
      </c>
      <c r="I4" s="7">
        <f t="shared" si="0"/>
        <v>118600594.35209998</v>
      </c>
      <c r="J4" s="7">
        <f t="shared" si="1"/>
        <v>37875181.323840052</v>
      </c>
      <c r="K4" s="7">
        <f t="shared" si="2"/>
        <v>12386185.066499999</v>
      </c>
      <c r="L4" s="7">
        <f t="shared" si="3"/>
        <v>362663644.38153118</v>
      </c>
      <c r="M4" s="7">
        <f t="shared" si="8"/>
        <v>483997048.52761966</v>
      </c>
      <c r="N4" s="7">
        <f t="shared" si="4"/>
        <v>25021623.707676604</v>
      </c>
      <c r="O4" s="7">
        <f t="shared" si="5"/>
        <v>732625355.86621165</v>
      </c>
      <c r="P4" s="7">
        <f t="shared" si="6"/>
        <v>239587849.48331138</v>
      </c>
      <c r="Q4">
        <v>1</v>
      </c>
      <c r="R4">
        <v>3</v>
      </c>
      <c r="S4">
        <f>GDP!K17</f>
        <v>21818.15</v>
      </c>
      <c r="U4">
        <f>U16</f>
        <v>-3.1999999999999999E-5</v>
      </c>
      <c r="V4" s="12">
        <f>-($U$2+$U$4*B4*(-1)+$U$8*C4+$U$10*D4+$U$12*E4+$U$6*S4)/($U$14+$U$16*S4+$U$18*C4+$U$20*D4+$U$22*E4+$U$6*B4*(-1))</f>
        <v>-1.5447136649185396</v>
      </c>
      <c r="X4" s="13">
        <f t="shared" si="10"/>
        <v>268.56339063671987</v>
      </c>
      <c r="Y4" s="15">
        <v>28156.606534800005</v>
      </c>
      <c r="Z4" s="15">
        <v>161.95020017033335</v>
      </c>
    </row>
    <row r="5" spans="1:26" x14ac:dyDescent="0.25">
      <c r="A5" t="s">
        <v>30</v>
      </c>
      <c r="B5" s="7">
        <f>-CO2排放量!K18</f>
        <v>-156.54657271800002</v>
      </c>
      <c r="C5" s="7">
        <f>就业人口!K18</f>
        <v>1365.63</v>
      </c>
      <c r="D5" s="7">
        <f>资本存量!K18</f>
        <v>36120.763685102575</v>
      </c>
      <c r="E5" s="7">
        <f>能源消耗量!L18</f>
        <v>10639.86</v>
      </c>
      <c r="F5" s="7">
        <f t="shared" si="7"/>
        <v>23724.241920718003</v>
      </c>
      <c r="G5" s="7">
        <f t="shared" si="0"/>
        <v>1864945.2969000002</v>
      </c>
      <c r="H5" s="7">
        <f t="shared" si="0"/>
        <v>1304709569.195025</v>
      </c>
      <c r="I5" s="7">
        <f t="shared" si="0"/>
        <v>113206620.81960002</v>
      </c>
      <c r="J5" s="7">
        <f t="shared" si="1"/>
        <v>49327598.511286631</v>
      </c>
      <c r="K5" s="7">
        <f t="shared" si="2"/>
        <v>14530112.011800002</v>
      </c>
      <c r="L5" s="7">
        <f t="shared" si="3"/>
        <v>384319868.7025755</v>
      </c>
      <c r="M5" s="7">
        <f t="shared" si="8"/>
        <v>562839654.71275342</v>
      </c>
      <c r="N5" s="7">
        <f t="shared" si="4"/>
        <v>32398536.49419013</v>
      </c>
      <c r="O5" s="7">
        <f t="shared" si="5"/>
        <v>856937736.02645898</v>
      </c>
      <c r="P5" s="7">
        <f t="shared" si="6"/>
        <v>252422612.64257067</v>
      </c>
      <c r="Q5">
        <v>1</v>
      </c>
      <c r="R5">
        <v>4</v>
      </c>
      <c r="S5">
        <f>GDP!K18</f>
        <v>23567.695348000001</v>
      </c>
      <c r="U5" s="9" t="s">
        <v>111</v>
      </c>
      <c r="V5">
        <f t="shared" si="9"/>
        <v>-1.5484889394931052</v>
      </c>
      <c r="X5" s="13">
        <f t="shared" si="10"/>
        <v>269.21975858591094</v>
      </c>
      <c r="Y5" s="15">
        <v>28156.606534800005</v>
      </c>
      <c r="Z5" s="15">
        <v>161.95020017033335</v>
      </c>
    </row>
    <row r="6" spans="1:26" x14ac:dyDescent="0.25">
      <c r="A6" t="s">
        <v>31</v>
      </c>
      <c r="B6" s="7">
        <f>-CO2排放量!K19</f>
        <v>-161.64688139999996</v>
      </c>
      <c r="C6" s="7">
        <f>就业人口!K19</f>
        <v>1361.51</v>
      </c>
      <c r="D6" s="7">
        <f>资本存量!K19</f>
        <v>39005.870371332727</v>
      </c>
      <c r="E6" s="7">
        <f>能源消耗量!L19</f>
        <v>10930.53</v>
      </c>
      <c r="F6" s="7">
        <f t="shared" si="7"/>
        <v>25285.096881400001</v>
      </c>
      <c r="G6" s="7">
        <f t="shared" si="0"/>
        <v>1853709.4801</v>
      </c>
      <c r="H6" s="7">
        <f t="shared" si="0"/>
        <v>1521457923.4252124</v>
      </c>
      <c r="I6" s="7">
        <f t="shared" si="0"/>
        <v>119476486.08090001</v>
      </c>
      <c r="J6" s="7">
        <f t="shared" si="1"/>
        <v>53106882.569273219</v>
      </c>
      <c r="K6" s="7">
        <f t="shared" si="2"/>
        <v>14882025.9003</v>
      </c>
      <c r="L6" s="7">
        <f t="shared" si="3"/>
        <v>426354836.26996356</v>
      </c>
      <c r="M6" s="7">
        <f t="shared" si="8"/>
        <v>639336124.30178404</v>
      </c>
      <c r="N6" s="7">
        <f t="shared" si="4"/>
        <v>34425912.254994914</v>
      </c>
      <c r="O6" s="7">
        <f t="shared" si="5"/>
        <v>986267211.28247786</v>
      </c>
      <c r="P6" s="7">
        <f t="shared" si="6"/>
        <v>276379510.01504916</v>
      </c>
      <c r="Q6">
        <v>1</v>
      </c>
      <c r="R6">
        <v>5</v>
      </c>
      <c r="S6">
        <f>GDP!K19</f>
        <v>25123.45</v>
      </c>
      <c r="U6">
        <f>U4</f>
        <v>-3.1999999999999999E-5</v>
      </c>
      <c r="V6">
        <f t="shared" si="9"/>
        <v>-1.5410820766639783</v>
      </c>
      <c r="X6" s="13">
        <f t="shared" si="10"/>
        <v>267.93200394209072</v>
      </c>
      <c r="Y6" s="15">
        <v>28156.606534800005</v>
      </c>
      <c r="Z6" s="15">
        <v>161.95020017033335</v>
      </c>
    </row>
    <row r="7" spans="1:26" x14ac:dyDescent="0.25">
      <c r="A7" t="s">
        <v>32</v>
      </c>
      <c r="B7" s="7">
        <f>-CO2排放量!K20</f>
        <v>-158.22522638666669</v>
      </c>
      <c r="C7" s="7">
        <f>就业人口!K20</f>
        <v>1365.24</v>
      </c>
      <c r="D7" s="7">
        <f>资本存量!K20</f>
        <v>42017.186815684785</v>
      </c>
      <c r="E7" s="7">
        <f>能源消耗量!L20</f>
        <v>11241.73</v>
      </c>
      <c r="F7" s="7">
        <f t="shared" si="7"/>
        <v>28336.87522638667</v>
      </c>
      <c r="G7" s="7">
        <f t="shared" si="0"/>
        <v>1863880.2576000001</v>
      </c>
      <c r="H7" s="7">
        <f t="shared" si="0"/>
        <v>1765443987.9041553</v>
      </c>
      <c r="I7" s="7">
        <f t="shared" si="0"/>
        <v>126376493.39289999</v>
      </c>
      <c r="J7" s="7">
        <f t="shared" si="1"/>
        <v>57363544.128245495</v>
      </c>
      <c r="K7" s="7">
        <f t="shared" si="2"/>
        <v>15347659.4652</v>
      </c>
      <c r="L7" s="7">
        <f t="shared" si="3"/>
        <v>472345869.54148811</v>
      </c>
      <c r="M7" s="7">
        <f t="shared" si="8"/>
        <v>802978497.5958066</v>
      </c>
      <c r="N7" s="7">
        <f t="shared" si="4"/>
        <v>38686635.534072138</v>
      </c>
      <c r="O7" s="7">
        <f t="shared" si="5"/>
        <v>1190635780.1598387</v>
      </c>
      <c r="P7" s="7">
        <f t="shared" si="6"/>
        <v>318555500.33872783</v>
      </c>
      <c r="Q7">
        <v>1</v>
      </c>
      <c r="R7">
        <v>6</v>
      </c>
      <c r="S7">
        <f>GDP!K20</f>
        <v>28178.65</v>
      </c>
      <c r="U7" s="9" t="s">
        <v>112</v>
      </c>
      <c r="V7">
        <f t="shared" si="9"/>
        <v>-1.5456896239190872</v>
      </c>
      <c r="X7" s="13">
        <f t="shared" si="10"/>
        <v>268.73307053550121</v>
      </c>
      <c r="Y7" s="15">
        <v>28156.606534800005</v>
      </c>
      <c r="Z7" s="15">
        <v>161.95020017033335</v>
      </c>
    </row>
    <row r="8" spans="1:26" x14ac:dyDescent="0.25">
      <c r="A8" t="s">
        <v>33</v>
      </c>
      <c r="B8" s="7">
        <f>-CO2排放量!K21</f>
        <v>-156.57804983333335</v>
      </c>
      <c r="C8" s="7">
        <f>就业人口!K21</f>
        <v>1372.65</v>
      </c>
      <c r="D8" s="7">
        <f>资本存量!K21</f>
        <v>45230.136881379047</v>
      </c>
      <c r="E8" s="7">
        <f>能源消耗量!L21</f>
        <v>11381.85</v>
      </c>
      <c r="F8" s="7">
        <f t="shared" si="7"/>
        <v>30789.568049833335</v>
      </c>
      <c r="G8" s="7">
        <f t="shared" si="0"/>
        <v>1884168.0225000002</v>
      </c>
      <c r="H8" s="7">
        <f t="shared" si="0"/>
        <v>2045765282.308285</v>
      </c>
      <c r="I8" s="7">
        <f t="shared" si="0"/>
        <v>129546509.42250001</v>
      </c>
      <c r="J8" s="7">
        <f t="shared" si="1"/>
        <v>62085147.390224956</v>
      </c>
      <c r="K8" s="7">
        <f t="shared" si="2"/>
        <v>15623296.402500002</v>
      </c>
      <c r="L8" s="7">
        <f t="shared" si="3"/>
        <v>514802633.46332413</v>
      </c>
      <c r="M8" s="7">
        <f t="shared" si="8"/>
        <v>947997500.69531775</v>
      </c>
      <c r="N8" s="7">
        <f t="shared" si="4"/>
        <v>42263300.583603732</v>
      </c>
      <c r="O8" s="7">
        <f t="shared" si="5"/>
        <v>1392616377.4124966</v>
      </c>
      <c r="P8" s="7">
        <f t="shared" si="6"/>
        <v>350442245.10799557</v>
      </c>
      <c r="Q8">
        <v>1</v>
      </c>
      <c r="R8">
        <v>7</v>
      </c>
      <c r="S8">
        <f>GDP!K21</f>
        <v>30632.99</v>
      </c>
      <c r="U8">
        <f>0.0002995</f>
        <v>2.9950000000000002E-4</v>
      </c>
      <c r="V8">
        <f t="shared" si="9"/>
        <v>-1.553511775129883</v>
      </c>
      <c r="X8" s="13">
        <f t="shared" si="10"/>
        <v>270.09302707563791</v>
      </c>
      <c r="Y8" s="15">
        <v>28156.606534800005</v>
      </c>
      <c r="Z8" s="15">
        <v>161.95020017033335</v>
      </c>
    </row>
    <row r="9" spans="1:26" x14ac:dyDescent="0.25">
      <c r="A9" t="s">
        <v>34</v>
      </c>
      <c r="B9" s="7">
        <f>-CO2排放量!K22</f>
        <v>-151.47447972000001</v>
      </c>
      <c r="C9" s="7">
        <f>就业人口!K22</f>
        <v>1375.6599999999999</v>
      </c>
      <c r="D9" s="7">
        <f>资本存量!K22</f>
        <v>48511.466940766666</v>
      </c>
      <c r="E9" s="7">
        <f>能源消耗量!L22</f>
        <v>11453.73</v>
      </c>
      <c r="F9" s="7">
        <f t="shared" si="7"/>
        <v>36163.294479719996</v>
      </c>
      <c r="G9" s="7">
        <f t="shared" si="0"/>
        <v>1892440.4355999995</v>
      </c>
      <c r="H9" s="7">
        <f t="shared" si="0"/>
        <v>2353362424.7450972</v>
      </c>
      <c r="I9" s="7">
        <f t="shared" si="0"/>
        <v>131187930.91289999</v>
      </c>
      <c r="J9" s="7">
        <f t="shared" si="1"/>
        <v>66735284.611735068</v>
      </c>
      <c r="K9" s="7">
        <f t="shared" si="2"/>
        <v>15756438.211799998</v>
      </c>
      <c r="L9" s="7">
        <f t="shared" si="3"/>
        <v>555637244.24346733</v>
      </c>
      <c r="M9" s="7">
        <f t="shared" si="8"/>
        <v>1307783867.6269467</v>
      </c>
      <c r="N9" s="7">
        <f t="shared" si="4"/>
        <v>49748397.683971606</v>
      </c>
      <c r="O9" s="7">
        <f t="shared" si="5"/>
        <v>1754334464.6221464</v>
      </c>
      <c r="P9" s="7">
        <f>E9*F9</f>
        <v>414204610.88120329</v>
      </c>
      <c r="Q9">
        <v>1</v>
      </c>
      <c r="R9">
        <v>8</v>
      </c>
      <c r="S9">
        <f>GDP!K22</f>
        <v>36011.82</v>
      </c>
      <c r="U9" s="9" t="s">
        <v>113</v>
      </c>
      <c r="V9">
        <f t="shared" si="9"/>
        <v>-1.5974871993365141</v>
      </c>
      <c r="X9" s="13">
        <f t="shared" si="10"/>
        <v>277.738579321234</v>
      </c>
      <c r="Y9" s="15">
        <v>28156.606534800005</v>
      </c>
      <c r="Z9" s="15">
        <v>161.95020017033335</v>
      </c>
    </row>
    <row r="10" spans="1:26" x14ac:dyDescent="0.25">
      <c r="A10" t="s">
        <v>35</v>
      </c>
      <c r="B10" s="7">
        <f>-CO2排放量!K23</f>
        <v>-159.49730360666669</v>
      </c>
      <c r="C10" s="7">
        <f>就业人口!K23</f>
        <v>1376.2</v>
      </c>
      <c r="D10" s="7">
        <f>资本存量!K23</f>
        <v>51866.583897653072</v>
      </c>
      <c r="E10" s="7">
        <f>能源消耗量!L23</f>
        <v>11696.46</v>
      </c>
      <c r="F10" s="7">
        <f t="shared" si="7"/>
        <v>38314.817303606666</v>
      </c>
      <c r="G10" s="7">
        <f t="shared" si="0"/>
        <v>1893926.4400000002</v>
      </c>
      <c r="H10" s="7">
        <f t="shared" si="0"/>
        <v>2690142525.212285</v>
      </c>
      <c r="I10" s="7">
        <f t="shared" si="0"/>
        <v>136807176.53159997</v>
      </c>
      <c r="J10" s="7">
        <f t="shared" si="1"/>
        <v>71378792.759950161</v>
      </c>
      <c r="K10" s="7">
        <f t="shared" si="2"/>
        <v>16096668.251999998</v>
      </c>
      <c r="L10" s="7">
        <f t="shared" si="3"/>
        <v>606655423.89554322</v>
      </c>
      <c r="M10" s="7">
        <f t="shared" si="8"/>
        <v>1468025225.0087566</v>
      </c>
      <c r="N10" s="7">
        <f t="shared" si="4"/>
        <v>52728851.573223494</v>
      </c>
      <c r="O10" s="7">
        <f t="shared" si="5"/>
        <v>1987258686.2007649</v>
      </c>
      <c r="P10" s="7">
        <f t="shared" si="6"/>
        <v>448147727.99894321</v>
      </c>
      <c r="Q10">
        <v>1</v>
      </c>
      <c r="R10">
        <v>9</v>
      </c>
      <c r="S10">
        <f>GDP!K23</f>
        <v>38155.32</v>
      </c>
      <c r="U10" s="12">
        <v>7.5000000000000002E-6</v>
      </c>
      <c r="V10">
        <f t="shared" si="9"/>
        <v>-1.5967782536221196</v>
      </c>
      <c r="X10" s="13">
        <f t="shared" si="10"/>
        <v>277.6153222612628</v>
      </c>
      <c r="Y10" s="15">
        <v>28156.606534800005</v>
      </c>
      <c r="Z10" s="15">
        <v>161.95020017033335</v>
      </c>
    </row>
    <row r="11" spans="1:26" x14ac:dyDescent="0.25">
      <c r="A11" t="s">
        <v>36</v>
      </c>
      <c r="B11" s="7">
        <f>-CO2排放量!K24</f>
        <v>-154.62688177333334</v>
      </c>
      <c r="C11" s="7">
        <f>就业人口!K24</f>
        <v>1374</v>
      </c>
      <c r="D11" s="7">
        <f>资本存量!K24</f>
        <v>55724.86805834798</v>
      </c>
      <c r="E11" s="7">
        <f>能源消耗量!L24</f>
        <v>11099.59</v>
      </c>
      <c r="F11" s="7">
        <f t="shared" si="7"/>
        <v>38855.206881773338</v>
      </c>
      <c r="G11" s="7">
        <f t="shared" si="0"/>
        <v>1887876</v>
      </c>
      <c r="H11" s="7">
        <f t="shared" si="0"/>
        <v>3105260920.1202908</v>
      </c>
      <c r="I11" s="7">
        <f t="shared" si="0"/>
        <v>123200898.1681</v>
      </c>
      <c r="J11" s="7">
        <f t="shared" si="1"/>
        <v>76565968.712170124</v>
      </c>
      <c r="K11" s="7">
        <f t="shared" si="2"/>
        <v>15250836.66</v>
      </c>
      <c r="L11" s="7">
        <f t="shared" si="3"/>
        <v>618523188.25175869</v>
      </c>
      <c r="M11" s="7">
        <f t="shared" si="8"/>
        <v>1509727101.8254061</v>
      </c>
      <c r="N11" s="7">
        <f t="shared" si="4"/>
        <v>53387054.255556569</v>
      </c>
      <c r="O11" s="7">
        <f t="shared" si="5"/>
        <v>2165201276.8666339</v>
      </c>
      <c r="P11" s="7">
        <f t="shared" si="6"/>
        <v>431276865.75286251</v>
      </c>
      <c r="Q11">
        <v>1</v>
      </c>
      <c r="R11">
        <v>10</v>
      </c>
      <c r="S11">
        <f>GDP!K24</f>
        <v>38700.58</v>
      </c>
      <c r="U11" s="9" t="s">
        <v>114</v>
      </c>
      <c r="V11">
        <f t="shared" si="9"/>
        <v>-1.6350267084833952</v>
      </c>
      <c r="X11" s="13">
        <f t="shared" si="10"/>
        <v>284.26518557084995</v>
      </c>
      <c r="Y11" s="15">
        <v>28156.606534800005</v>
      </c>
      <c r="Z11" s="15">
        <v>161.95020017033335</v>
      </c>
    </row>
    <row r="12" spans="1:26" x14ac:dyDescent="0.25">
      <c r="A12" t="s">
        <v>37</v>
      </c>
      <c r="B12" s="7">
        <f>-CO2排放量!K25</f>
        <v>-613.10788851999996</v>
      </c>
      <c r="C12" s="7">
        <f>就业人口!K25</f>
        <v>4758.2300000000005</v>
      </c>
      <c r="D12" s="7">
        <f>资本存量!K25</f>
        <v>86020.796837350936</v>
      </c>
      <c r="E12" s="7">
        <f>能源消耗量!L25</f>
        <v>27588.97</v>
      </c>
      <c r="F12" s="7">
        <f t="shared" si="7"/>
        <v>49723.377888519994</v>
      </c>
      <c r="G12" s="7">
        <f t="shared" si="0"/>
        <v>22640752.732900005</v>
      </c>
      <c r="H12" s="7">
        <f t="shared" si="0"/>
        <v>7399577488.5328045</v>
      </c>
      <c r="I12" s="7">
        <f t="shared" si="0"/>
        <v>761151265.66090012</v>
      </c>
      <c r="J12" s="7">
        <f t="shared" si="1"/>
        <v>409306736.13538837</v>
      </c>
      <c r="K12" s="7">
        <f t="shared" si="2"/>
        <v>131274664.72310002</v>
      </c>
      <c r="L12" s="7">
        <f t="shared" si="3"/>
        <v>2373225183.3217697</v>
      </c>
      <c r="M12" s="7">
        <f t="shared" si="8"/>
        <v>2472414308.6445589</v>
      </c>
      <c r="N12" s="7">
        <f t="shared" si="4"/>
        <v>236595268.37049252</v>
      </c>
      <c r="O12" s="7">
        <f t="shared" si="5"/>
        <v>4277244587.415206</v>
      </c>
      <c r="P12" s="7">
        <f t="shared" si="6"/>
        <v>1371816780.8650415</v>
      </c>
      <c r="Q12">
        <v>2</v>
      </c>
      <c r="R12">
        <v>1</v>
      </c>
      <c r="S12">
        <f>GDP!K25</f>
        <v>49110.27</v>
      </c>
      <c r="U12">
        <v>1.875E-4</v>
      </c>
      <c r="V12">
        <f t="shared" si="9"/>
        <v>-1.1798719495381951</v>
      </c>
      <c r="X12" s="13">
        <f t="shared" si="10"/>
        <v>140.98807997379154</v>
      </c>
      <c r="Y12" s="15">
        <v>75694.264999999999</v>
      </c>
      <c r="Z12" s="15">
        <v>633.45454474600001</v>
      </c>
    </row>
    <row r="13" spans="1:26" x14ac:dyDescent="0.25">
      <c r="A13" t="s">
        <v>38</v>
      </c>
      <c r="B13" s="7">
        <f>-CO2排放量!K26</f>
        <v>-619.98858501333336</v>
      </c>
      <c r="C13" s="7">
        <f>就业人口!K26</f>
        <v>4759.5300000000007</v>
      </c>
      <c r="D13" s="7">
        <f>资本存量!K26</f>
        <v>109469.38034096525</v>
      </c>
      <c r="E13" s="7">
        <f>能源消耗量!L26</f>
        <v>28849.84</v>
      </c>
      <c r="F13" s="7">
        <f t="shared" si="7"/>
        <v>54678.208585013337</v>
      </c>
      <c r="G13" s="7">
        <f t="shared" si="0"/>
        <v>22653125.820900008</v>
      </c>
      <c r="H13" s="7">
        <f t="shared" si="0"/>
        <v>11983545232.234909</v>
      </c>
      <c r="I13" s="7">
        <f t="shared" si="0"/>
        <v>832313268.02559996</v>
      </c>
      <c r="J13" s="7">
        <f t="shared" si="1"/>
        <v>521022799.81423438</v>
      </c>
      <c r="K13" s="7">
        <f t="shared" si="2"/>
        <v>137311678.97520003</v>
      </c>
      <c r="L13" s="7">
        <f t="shared" si="3"/>
        <v>3158174107.7359929</v>
      </c>
      <c r="M13" s="7">
        <f t="shared" si="8"/>
        <v>2989706494.066226</v>
      </c>
      <c r="N13" s="7">
        <f t="shared" si="4"/>
        <v>260242574.10662857</v>
      </c>
      <c r="O13" s="7">
        <f t="shared" si="5"/>
        <v>5985589611.9554558</v>
      </c>
      <c r="P13" s="7">
        <f t="shared" si="6"/>
        <v>1577457569.1642611</v>
      </c>
      <c r="Q13">
        <v>2</v>
      </c>
      <c r="R13">
        <v>2</v>
      </c>
      <c r="S13">
        <f>GDP!K26</f>
        <v>54058.22</v>
      </c>
      <c r="U13" s="9" t="s">
        <v>115</v>
      </c>
      <c r="V13">
        <f t="shared" si="9"/>
        <v>-1.1720097832614704</v>
      </c>
      <c r="X13" s="13">
        <f t="shared" si="10"/>
        <v>140.04859520324169</v>
      </c>
      <c r="Y13" s="15">
        <v>75694.264999999999</v>
      </c>
      <c r="Z13" s="15">
        <v>633.45454474600001</v>
      </c>
    </row>
    <row r="14" spans="1:26" x14ac:dyDescent="0.25">
      <c r="A14" t="s">
        <v>39</v>
      </c>
      <c r="B14" s="7">
        <f>-CO2排放量!K27</f>
        <v>-638.44095200000004</v>
      </c>
      <c r="C14" s="7">
        <f>就业人口!K27</f>
        <v>4759.8900000000003</v>
      </c>
      <c r="D14" s="7">
        <f>资本存量!K27</f>
        <v>134942.83982823259</v>
      </c>
      <c r="E14" s="7">
        <f>能源消耗量!L27</f>
        <v>29205.38</v>
      </c>
      <c r="F14" s="7">
        <f t="shared" si="7"/>
        <v>60391.810952</v>
      </c>
      <c r="G14" s="7">
        <f t="shared" si="0"/>
        <v>22656552.812100004</v>
      </c>
      <c r="H14" s="7">
        <f t="shared" si="0"/>
        <v>18209570020.908035</v>
      </c>
      <c r="I14" s="7">
        <f t="shared" si="0"/>
        <v>852954220.94440007</v>
      </c>
      <c r="J14" s="7">
        <f t="shared" si="1"/>
        <v>642313073.87000608</v>
      </c>
      <c r="K14" s="7">
        <f t="shared" si="2"/>
        <v>139014396.20820001</v>
      </c>
      <c r="L14" s="7">
        <f t="shared" si="3"/>
        <v>3941056915.4626679</v>
      </c>
      <c r="M14" s="7">
        <f t="shared" si="8"/>
        <v>3647170830.0621071</v>
      </c>
      <c r="N14" s="7">
        <f t="shared" si="4"/>
        <v>287458377.03231531</v>
      </c>
      <c r="O14" s="7">
        <f t="shared" si="5"/>
        <v>8149442472.2326393</v>
      </c>
      <c r="P14" s="7">
        <f t="shared" si="6"/>
        <v>1763765787.7413218</v>
      </c>
      <c r="Q14">
        <v>2</v>
      </c>
      <c r="R14">
        <v>3</v>
      </c>
      <c r="S14">
        <f>GDP!K27</f>
        <v>59753.37</v>
      </c>
      <c r="U14">
        <v>-9.2519100000000007E-2</v>
      </c>
      <c r="V14">
        <f t="shared" si="9"/>
        <v>-1.1698193616078332</v>
      </c>
      <c r="X14" s="13">
        <f t="shared" si="10"/>
        <v>139.78685210188209</v>
      </c>
      <c r="Y14" s="15">
        <v>75694.264999999999</v>
      </c>
      <c r="Z14" s="15">
        <v>633.45454474600001</v>
      </c>
    </row>
    <row r="15" spans="1:26" x14ac:dyDescent="0.25">
      <c r="A15" t="s">
        <v>40</v>
      </c>
      <c r="B15" s="7">
        <f>-CO2排放量!K28</f>
        <v>-621.07117427333333</v>
      </c>
      <c r="C15" s="7">
        <f>就业人口!K28</f>
        <v>4760.83</v>
      </c>
      <c r="D15" s="7">
        <f>资本存量!K28</f>
        <v>163541.07720472227</v>
      </c>
      <c r="E15" s="7">
        <f>能源消耗量!L28</f>
        <v>29863.03</v>
      </c>
      <c r="F15" s="7">
        <f t="shared" si="7"/>
        <v>65709.391174273333</v>
      </c>
      <c r="G15" s="7">
        <f t="shared" si="0"/>
        <v>22665502.288899999</v>
      </c>
      <c r="H15" s="7">
        <f t="shared" si="0"/>
        <v>26745683933.28093</v>
      </c>
      <c r="I15" s="7">
        <f t="shared" si="0"/>
        <v>891800560.78089988</v>
      </c>
      <c r="J15" s="7">
        <f t="shared" si="1"/>
        <v>778591266.58855796</v>
      </c>
      <c r="K15" s="7">
        <f t="shared" si="2"/>
        <v>142172809.11489999</v>
      </c>
      <c r="L15" s="7">
        <f t="shared" si="3"/>
        <v>4883832094.796937</v>
      </c>
      <c r="M15" s="7">
        <f t="shared" si="8"/>
        <v>4317724088.4936705</v>
      </c>
      <c r="N15" s="7">
        <f t="shared" si="4"/>
        <v>312831240.78421569</v>
      </c>
      <c r="O15" s="7">
        <f t="shared" si="5"/>
        <v>10746184615.107132</v>
      </c>
      <c r="P15" s="7">
        <f t="shared" si="6"/>
        <v>1962281519.9190598</v>
      </c>
      <c r="Q15">
        <v>2</v>
      </c>
      <c r="R15">
        <v>4</v>
      </c>
      <c r="S15">
        <f>GDP!K28</f>
        <v>65088.32</v>
      </c>
      <c r="U15" s="9" t="s">
        <v>116</v>
      </c>
      <c r="V15">
        <f t="shared" si="9"/>
        <v>-1.1651111770677507</v>
      </c>
      <c r="X15" s="13">
        <f t="shared" si="10"/>
        <v>139.22425045792545</v>
      </c>
      <c r="Y15" s="15">
        <v>75694.264999999999</v>
      </c>
      <c r="Z15" s="15">
        <v>633.45454474600001</v>
      </c>
    </row>
    <row r="16" spans="1:26" x14ac:dyDescent="0.25">
      <c r="A16" t="s">
        <v>41</v>
      </c>
      <c r="B16" s="7">
        <f>-CO2排放量!K29</f>
        <v>-634.16123835999997</v>
      </c>
      <c r="C16" s="7">
        <f>就业人口!K29</f>
        <v>4758.5</v>
      </c>
      <c r="D16" s="7">
        <f>资本存量!K29</f>
        <v>193746.30379306892</v>
      </c>
      <c r="E16" s="7">
        <f>能源消耗量!L29</f>
        <v>30374.14</v>
      </c>
      <c r="F16" s="7">
        <f t="shared" si="7"/>
        <v>70750.541238360005</v>
      </c>
      <c r="G16" s="7">
        <f t="shared" si="0"/>
        <v>22643322.25</v>
      </c>
      <c r="H16" s="7">
        <f t="shared" si="0"/>
        <v>37537630233.476151</v>
      </c>
      <c r="I16" s="7">
        <f t="shared" si="0"/>
        <v>922588380.73959994</v>
      </c>
      <c r="J16" s="7">
        <f t="shared" si="1"/>
        <v>921941786.59931839</v>
      </c>
      <c r="K16" s="7">
        <f t="shared" si="2"/>
        <v>144535345.19</v>
      </c>
      <c r="L16" s="7">
        <f t="shared" si="3"/>
        <v>5884877355.8932066</v>
      </c>
      <c r="M16" s="7">
        <f t="shared" si="8"/>
        <v>5005639085.5208797</v>
      </c>
      <c r="N16" s="7">
        <f t="shared" si="4"/>
        <v>336666450.48273611</v>
      </c>
      <c r="O16" s="7">
        <f t="shared" si="5"/>
        <v>13707655856.291348</v>
      </c>
      <c r="P16" s="7">
        <f t="shared" si="6"/>
        <v>2148986844.6497202</v>
      </c>
      <c r="Q16">
        <v>2</v>
      </c>
      <c r="R16">
        <v>5</v>
      </c>
      <c r="S16">
        <f>GDP!K29</f>
        <v>70116.38</v>
      </c>
      <c r="U16">
        <v>-3.1999999999999999E-5</v>
      </c>
      <c r="V16">
        <f t="shared" si="9"/>
        <v>-1.1608523150120484</v>
      </c>
      <c r="X16" s="13">
        <f t="shared" si="10"/>
        <v>138.71534033056653</v>
      </c>
      <c r="Y16" s="15">
        <v>75694.264999999999</v>
      </c>
      <c r="Z16" s="15">
        <v>633.45454474600001</v>
      </c>
    </row>
    <row r="17" spans="1:26" x14ac:dyDescent="0.25">
      <c r="A17" t="s">
        <v>42</v>
      </c>
      <c r="B17" s="7">
        <f>-CO2排放量!K30</f>
        <v>-653.11684464666666</v>
      </c>
      <c r="C17" s="7">
        <f>就业人口!K30</f>
        <v>4756.22</v>
      </c>
      <c r="D17" s="7">
        <f>资本存量!K30</f>
        <v>224517.5086289343</v>
      </c>
      <c r="E17" s="7">
        <f>能源消耗量!L30</f>
        <v>31209.71</v>
      </c>
      <c r="F17" s="7">
        <f t="shared" si="7"/>
        <v>78041.396844646661</v>
      </c>
      <c r="G17" s="7">
        <f t="shared" si="0"/>
        <v>22621628.688400004</v>
      </c>
      <c r="H17" s="7">
        <f t="shared" si="0"/>
        <v>50408111680.943588</v>
      </c>
      <c r="I17" s="7">
        <f t="shared" si="0"/>
        <v>974045998.28409994</v>
      </c>
      <c r="J17" s="7">
        <f t="shared" si="1"/>
        <v>1067854664.8911099</v>
      </c>
      <c r="K17" s="7">
        <f t="shared" si="2"/>
        <v>148440246.8962</v>
      </c>
      <c r="L17" s="7">
        <f t="shared" si="3"/>
        <v>7007126334.2315369</v>
      </c>
      <c r="M17" s="7">
        <f t="shared" si="8"/>
        <v>6090459621.4636259</v>
      </c>
      <c r="N17" s="7">
        <f t="shared" si="4"/>
        <v>371182052.50044537</v>
      </c>
      <c r="O17" s="7">
        <f t="shared" si="5"/>
        <v>17521659989.482044</v>
      </c>
      <c r="P17" s="7">
        <f t="shared" si="6"/>
        <v>2435649363.5163374</v>
      </c>
      <c r="Q17">
        <v>2</v>
      </c>
      <c r="R17">
        <v>6</v>
      </c>
      <c r="S17">
        <f>GDP!K30</f>
        <v>77388.28</v>
      </c>
      <c r="U17" s="9" t="s">
        <v>117</v>
      </c>
      <c r="V17">
        <f t="shared" si="9"/>
        <v>-1.1569773439594382</v>
      </c>
      <c r="X17" s="13">
        <f t="shared" si="10"/>
        <v>138.25230302480179</v>
      </c>
      <c r="Y17" s="15">
        <v>75694.264999999999</v>
      </c>
      <c r="Z17" s="15">
        <v>633.45454474600001</v>
      </c>
    </row>
    <row r="18" spans="1:26" x14ac:dyDescent="0.25">
      <c r="A18" t="s">
        <v>43</v>
      </c>
      <c r="B18" s="7">
        <f>-CO2排放量!K31</f>
        <v>-645.04872020000005</v>
      </c>
      <c r="C18" s="7">
        <f>就业人口!K31</f>
        <v>4757.8</v>
      </c>
      <c r="D18" s="7">
        <f>资本存量!K31</f>
        <v>255964.0378005566</v>
      </c>
      <c r="E18" s="7">
        <f>能源消耗量!L31</f>
        <v>31602.09</v>
      </c>
      <c r="F18" s="7">
        <f t="shared" si="7"/>
        <v>86514.808720199988</v>
      </c>
      <c r="G18" s="7">
        <f t="shared" si="0"/>
        <v>22636660.840000004</v>
      </c>
      <c r="H18" s="7">
        <f t="shared" si="0"/>
        <v>65517588647.164772</v>
      </c>
      <c r="I18" s="7">
        <f t="shared" si="0"/>
        <v>998692092.36810005</v>
      </c>
      <c r="J18" s="7">
        <f t="shared" si="1"/>
        <v>1217825699.0474882</v>
      </c>
      <c r="K18" s="7">
        <f t="shared" si="2"/>
        <v>150356423.80200002</v>
      </c>
      <c r="L18" s="7">
        <f t="shared" si="3"/>
        <v>8088998559.3365917</v>
      </c>
      <c r="M18" s="7">
        <f t="shared" si="8"/>
        <v>7484812127.8927917</v>
      </c>
      <c r="N18" s="7">
        <f t="shared" si="4"/>
        <v>411620156.92896754</v>
      </c>
      <c r="O18" s="7">
        <f t="shared" si="5"/>
        <v>22144679769.565193</v>
      </c>
      <c r="P18" s="7">
        <f t="shared" si="6"/>
        <v>2734048771.5085449</v>
      </c>
      <c r="Q18">
        <v>2</v>
      </c>
      <c r="R18">
        <v>7</v>
      </c>
      <c r="S18">
        <f>GDP!K31</f>
        <v>85869.759999999995</v>
      </c>
      <c r="U18">
        <f>U8</f>
        <v>2.9950000000000002E-4</v>
      </c>
      <c r="V18">
        <f t="shared" si="9"/>
        <v>-1.1560283841226533</v>
      </c>
      <c r="X18" s="13">
        <f t="shared" si="10"/>
        <v>138.13890764709754</v>
      </c>
      <c r="Y18" s="15">
        <v>75694.264999999999</v>
      </c>
      <c r="Z18" s="15">
        <v>633.45454474600001</v>
      </c>
    </row>
    <row r="19" spans="1:26" x14ac:dyDescent="0.25">
      <c r="A19" t="s">
        <v>44</v>
      </c>
      <c r="B19" s="7">
        <f>-CO2排放量!K32</f>
        <v>-644.96546772666659</v>
      </c>
      <c r="C19" s="7">
        <f>就业人口!K32</f>
        <v>4750.8999999999996</v>
      </c>
      <c r="D19" s="7">
        <f>资本存量!K32</f>
        <v>287306.71172170318</v>
      </c>
      <c r="E19" s="7">
        <f>能源消耗量!L32</f>
        <v>31635.200000000001</v>
      </c>
      <c r="F19" s="7">
        <f t="shared" si="7"/>
        <v>93852.515467726669</v>
      </c>
      <c r="G19" s="7">
        <f t="shared" si="0"/>
        <v>22571050.809999995</v>
      </c>
      <c r="H19" s="7">
        <f t="shared" si="0"/>
        <v>82545146600.33786</v>
      </c>
      <c r="I19" s="7">
        <f t="shared" si="0"/>
        <v>1000785879.0400001</v>
      </c>
      <c r="J19" s="7">
        <f t="shared" si="1"/>
        <v>1364965456.7186396</v>
      </c>
      <c r="K19" s="7">
        <f t="shared" si="2"/>
        <v>150295671.67999998</v>
      </c>
      <c r="L19" s="7">
        <f t="shared" si="3"/>
        <v>9089005286.6584244</v>
      </c>
      <c r="M19" s="7">
        <f t="shared" si="8"/>
        <v>8808294659.619873</v>
      </c>
      <c r="N19" s="7">
        <f t="shared" si="4"/>
        <v>445883915.73562258</v>
      </c>
      <c r="O19" s="7">
        <f t="shared" si="5"/>
        <v>26964457605.842834</v>
      </c>
      <c r="P19" s="7">
        <f t="shared" si="6"/>
        <v>2969043097.3246269</v>
      </c>
      <c r="Q19">
        <v>2</v>
      </c>
      <c r="R19">
        <v>8</v>
      </c>
      <c r="S19">
        <f>GDP!K32</f>
        <v>93207.55</v>
      </c>
      <c r="U19" s="9" t="s">
        <v>118</v>
      </c>
      <c r="V19">
        <f t="shared" si="9"/>
        <v>-1.1559212183565399</v>
      </c>
      <c r="X19" s="13">
        <f t="shared" si="10"/>
        <v>138.12610193914833</v>
      </c>
      <c r="Y19" s="15">
        <v>75694.264999999999</v>
      </c>
      <c r="Z19" s="15">
        <v>633.45454474600001</v>
      </c>
    </row>
    <row r="20" spans="1:26" x14ac:dyDescent="0.25">
      <c r="A20" t="s">
        <v>45</v>
      </c>
      <c r="B20" s="7">
        <f>-CO2排放量!K33</f>
        <v>-636.5820485866667</v>
      </c>
      <c r="C20" s="7">
        <f>就业人口!K33</f>
        <v>4745.2000000000007</v>
      </c>
      <c r="D20" s="7">
        <f>资本存量!K33</f>
        <v>318492.16524546966</v>
      </c>
      <c r="E20" s="7">
        <f>能源消耗量!L33</f>
        <v>32525.97</v>
      </c>
      <c r="F20" s="7">
        <f t="shared" si="7"/>
        <v>100268.10204858668</v>
      </c>
      <c r="G20" s="7">
        <f t="shared" si="0"/>
        <v>22516923.040000007</v>
      </c>
      <c r="H20" s="7">
        <f t="shared" si="0"/>
        <v>101437259322.74756</v>
      </c>
      <c r="I20" s="7">
        <f t="shared" si="0"/>
        <v>1057938724.4409001</v>
      </c>
      <c r="J20" s="7">
        <f t="shared" si="1"/>
        <v>1511309022.5228028</v>
      </c>
      <c r="K20" s="7">
        <f t="shared" si="2"/>
        <v>154342232.84400004</v>
      </c>
      <c r="L20" s="7">
        <f t="shared" si="3"/>
        <v>10359266612.00919</v>
      </c>
      <c r="M20" s="7">
        <f t="shared" si="8"/>
        <v>10053692288.425791</v>
      </c>
      <c r="N20" s="7">
        <f t="shared" si="4"/>
        <v>475792197.84095359</v>
      </c>
      <c r="O20" s="7">
        <f t="shared" si="5"/>
        <v>31934604926.508083</v>
      </c>
      <c r="P20" s="7">
        <f t="shared" si="6"/>
        <v>3261317279.1892691</v>
      </c>
      <c r="Q20">
        <v>2</v>
      </c>
      <c r="R20">
        <v>9</v>
      </c>
      <c r="S20">
        <f>GDP!K33</f>
        <v>99631.52</v>
      </c>
      <c r="U20" s="12">
        <f>U10</f>
        <v>7.5000000000000002E-6</v>
      </c>
      <c r="V20">
        <f t="shared" si="9"/>
        <v>-1.151345469194329</v>
      </c>
      <c r="X20" s="13">
        <f t="shared" si="10"/>
        <v>137.57932558000672</v>
      </c>
      <c r="Y20" s="15">
        <v>75694.264999999999</v>
      </c>
      <c r="Z20" s="15">
        <v>633.45454474600001</v>
      </c>
    </row>
    <row r="21" spans="1:26" x14ac:dyDescent="0.25">
      <c r="A21" t="s">
        <v>46</v>
      </c>
      <c r="B21" s="7">
        <f>-CO2排放量!K34</f>
        <v>-628.06252813333333</v>
      </c>
      <c r="C21" s="7">
        <f>就业人口!K34</f>
        <v>4893</v>
      </c>
      <c r="D21" s="7">
        <f>资本存量!K34</f>
        <v>346860.11592450168</v>
      </c>
      <c r="E21" s="7">
        <f>能源消耗量!L34</f>
        <v>32672.49</v>
      </c>
      <c r="F21" s="7">
        <f t="shared" si="7"/>
        <v>103347.04252813333</v>
      </c>
      <c r="G21" s="7">
        <f t="shared" si="0"/>
        <v>23941449</v>
      </c>
      <c r="H21" s="7">
        <f t="shared" si="0"/>
        <v>120311940019.15874</v>
      </c>
      <c r="I21" s="7">
        <f t="shared" si="0"/>
        <v>1067491602.8001001</v>
      </c>
      <c r="J21" s="7">
        <f t="shared" si="1"/>
        <v>1697186547.2185867</v>
      </c>
      <c r="K21" s="7">
        <f t="shared" si="2"/>
        <v>159866493.57000002</v>
      </c>
      <c r="L21" s="7">
        <f t="shared" si="3"/>
        <v>11332783668.942122</v>
      </c>
      <c r="M21" s="7">
        <f t="shared" si="8"/>
        <v>10680611199.3118</v>
      </c>
      <c r="N21" s="7">
        <f t="shared" si="4"/>
        <v>505677079.09015638</v>
      </c>
      <c r="O21" s="7">
        <f t="shared" si="5"/>
        <v>35846967151.762733</v>
      </c>
      <c r="P21" s="7">
        <f t="shared" si="6"/>
        <v>3376605213.5300112</v>
      </c>
      <c r="Q21">
        <v>2</v>
      </c>
      <c r="R21">
        <v>10</v>
      </c>
      <c r="S21">
        <f>GDP!K34</f>
        <v>102718.98</v>
      </c>
      <c r="U21" s="9" t="s">
        <v>119</v>
      </c>
      <c r="V21">
        <f t="shared" si="9"/>
        <v>-1.1472023071700428</v>
      </c>
      <c r="X21" s="13">
        <f t="shared" si="10"/>
        <v>137.08424095743132</v>
      </c>
      <c r="Y21" s="15">
        <v>75694.264999999999</v>
      </c>
      <c r="Z21" s="15">
        <v>633.45454474600001</v>
      </c>
    </row>
    <row r="22" spans="1:26" x14ac:dyDescent="0.25">
      <c r="A22" t="s">
        <v>47</v>
      </c>
      <c r="B22" s="7">
        <f>-CO2排放量!K35</f>
        <v>-398.62266099999999</v>
      </c>
      <c r="C22" s="7">
        <f>就业人口!K35</f>
        <v>3385</v>
      </c>
      <c r="D22" s="7">
        <f>资本存量!K35</f>
        <v>48084.568699807249</v>
      </c>
      <c r="E22" s="7">
        <f>能源消耗量!L35</f>
        <v>17827.27</v>
      </c>
      <c r="F22" s="7">
        <f t="shared" si="7"/>
        <v>32717.472661</v>
      </c>
      <c r="G22" s="7">
        <f t="shared" si="0"/>
        <v>11458225</v>
      </c>
      <c r="H22" s="7">
        <f t="shared" si="0"/>
        <v>2312125747.046483</v>
      </c>
      <c r="I22" s="7">
        <f t="shared" si="0"/>
        <v>317811555.65290004</v>
      </c>
      <c r="J22" s="7">
        <f t="shared" si="1"/>
        <v>162766265.04884753</v>
      </c>
      <c r="K22" s="7">
        <f t="shared" si="2"/>
        <v>60345308.950000003</v>
      </c>
      <c r="L22" s="7">
        <f t="shared" si="3"/>
        <v>857216589.04501283</v>
      </c>
      <c r="M22" s="7">
        <f t="shared" si="8"/>
        <v>1070433017.3232824</v>
      </c>
      <c r="N22" s="7">
        <f t="shared" si="4"/>
        <v>110748644.95748501</v>
      </c>
      <c r="O22" s="7">
        <f t="shared" si="5"/>
        <v>1573205561.8519199</v>
      </c>
      <c r="P22" s="7">
        <f t="shared" si="6"/>
        <v>583263218.84526551</v>
      </c>
      <c r="Q22">
        <v>3</v>
      </c>
      <c r="R22">
        <v>1</v>
      </c>
      <c r="S22">
        <f>GDP!K35</f>
        <v>32318.85</v>
      </c>
      <c r="U22">
        <f>U12</f>
        <v>1.875E-4</v>
      </c>
      <c r="V22">
        <f t="shared" si="9"/>
        <v>-1.2795188177953445</v>
      </c>
      <c r="X22" s="13">
        <f t="shared" si="10"/>
        <v>151.3676013862771</v>
      </c>
      <c r="Y22" s="15">
        <v>47178.797999999995</v>
      </c>
      <c r="Z22" s="15">
        <v>398.80502359230832</v>
      </c>
    </row>
    <row r="23" spans="1:26" x14ac:dyDescent="0.25">
      <c r="A23" t="s">
        <v>48</v>
      </c>
      <c r="B23" s="7">
        <f>-CO2排放量!K36</f>
        <v>-383.59345537800004</v>
      </c>
      <c r="C23" s="7">
        <f>就业人口!K36</f>
        <v>3407</v>
      </c>
      <c r="D23" s="7">
        <f>资本存量!K36</f>
        <v>60564.410104625757</v>
      </c>
      <c r="E23" s="7">
        <f>能源消耗量!L36</f>
        <v>18076.18</v>
      </c>
      <c r="F23" s="7">
        <f t="shared" si="7"/>
        <v>35048.923455378004</v>
      </c>
      <c r="G23" s="7">
        <f t="shared" si="0"/>
        <v>11607649</v>
      </c>
      <c r="H23" s="7">
        <f t="shared" si="0"/>
        <v>3668047771.3212943</v>
      </c>
      <c r="I23" s="7">
        <f t="shared" si="0"/>
        <v>326748283.39240003</v>
      </c>
      <c r="J23" s="7">
        <f t="shared" si="1"/>
        <v>206342945.22645995</v>
      </c>
      <c r="K23" s="7">
        <f t="shared" si="2"/>
        <v>61585545.259999998</v>
      </c>
      <c r="L23" s="7">
        <f t="shared" si="3"/>
        <v>1094773178.6450341</v>
      </c>
      <c r="M23" s="7">
        <f t="shared" si="8"/>
        <v>1228427035.3809464</v>
      </c>
      <c r="N23" s="7">
        <f t="shared" si="4"/>
        <v>119411682.21247286</v>
      </c>
      <c r="O23" s="7">
        <f t="shared" si="5"/>
        <v>2122717373.8771503</v>
      </c>
      <c r="P23" s="7">
        <f t="shared" si="6"/>
        <v>633550649.18563473</v>
      </c>
      <c r="Q23">
        <v>3</v>
      </c>
      <c r="R23">
        <v>2</v>
      </c>
      <c r="S23">
        <f>GDP!K36</f>
        <v>34665.33</v>
      </c>
      <c r="V23">
        <f t="shared" si="9"/>
        <v>-1.273985463151021</v>
      </c>
      <c r="X23" s="13">
        <f t="shared" si="10"/>
        <v>150.71300326041754</v>
      </c>
      <c r="Y23" s="15">
        <v>47178.797999999995</v>
      </c>
      <c r="Z23" s="15">
        <v>398.80502359230832</v>
      </c>
    </row>
    <row r="24" spans="1:26" x14ac:dyDescent="0.25">
      <c r="A24" t="s">
        <v>49</v>
      </c>
      <c r="B24" s="7">
        <f>-CO2排放量!K37</f>
        <v>-387.56092082666663</v>
      </c>
      <c r="C24" s="7">
        <f>就业人口!K37</f>
        <v>3436</v>
      </c>
      <c r="D24" s="7">
        <f>资本存量!K37</f>
        <v>74944.296734581687</v>
      </c>
      <c r="E24" s="7">
        <f>能源消耗量!L37</f>
        <v>18640</v>
      </c>
      <c r="F24" s="7">
        <f t="shared" si="7"/>
        <v>38144.14092082667</v>
      </c>
      <c r="G24" s="7">
        <f t="shared" si="0"/>
        <v>11806096</v>
      </c>
      <c r="H24" s="7">
        <f t="shared" si="0"/>
        <v>5616647613.0410309</v>
      </c>
      <c r="I24" s="7">
        <f t="shared" si="0"/>
        <v>347449600</v>
      </c>
      <c r="J24" s="7">
        <f t="shared" si="1"/>
        <v>257508603.58002266</v>
      </c>
      <c r="K24" s="7">
        <f t="shared" si="2"/>
        <v>64047040</v>
      </c>
      <c r="L24" s="7">
        <f t="shared" si="3"/>
        <v>1396961691.1326027</v>
      </c>
      <c r="M24" s="7">
        <f t="shared" si="8"/>
        <v>1454975486.5878837</v>
      </c>
      <c r="N24" s="7">
        <f t="shared" si="4"/>
        <v>131063268.20396043</v>
      </c>
      <c r="O24" s="7">
        <f t="shared" si="5"/>
        <v>2858685815.8561339</v>
      </c>
      <c r="P24" s="7">
        <f t="shared" si="6"/>
        <v>711006786.76420915</v>
      </c>
      <c r="Q24">
        <v>3</v>
      </c>
      <c r="R24">
        <v>3</v>
      </c>
      <c r="S24">
        <f>GDP!K37</f>
        <v>37756.58</v>
      </c>
      <c r="V24">
        <f t="shared" si="9"/>
        <v>-1.2650387902155964</v>
      </c>
      <c r="X24" s="13">
        <f t="shared" si="10"/>
        <v>149.65460817955727</v>
      </c>
      <c r="Y24" s="15">
        <v>47178.797999999995</v>
      </c>
      <c r="Z24" s="15">
        <v>398.80502359230832</v>
      </c>
    </row>
    <row r="25" spans="1:26" x14ac:dyDescent="0.25">
      <c r="A25" t="s">
        <v>50</v>
      </c>
      <c r="B25" s="7">
        <f>-CO2排放量!K38</f>
        <v>-380.79470165488334</v>
      </c>
      <c r="C25" s="7">
        <f>就业人口!K38</f>
        <v>3459</v>
      </c>
      <c r="D25" s="7">
        <f>资本存量!K38</f>
        <v>91304.404248061837</v>
      </c>
      <c r="E25" s="7">
        <f>能源消耗量!L38</f>
        <v>18826</v>
      </c>
      <c r="F25" s="7">
        <f t="shared" si="7"/>
        <v>40553.824701654885</v>
      </c>
      <c r="G25" s="7">
        <f t="shared" si="0"/>
        <v>11964681</v>
      </c>
      <c r="H25" s="7">
        <f t="shared" si="0"/>
        <v>8336494235.0934925</v>
      </c>
      <c r="I25" s="7">
        <f t="shared" si="0"/>
        <v>354418276</v>
      </c>
      <c r="J25" s="7">
        <f t="shared" si="1"/>
        <v>315821934.29404587</v>
      </c>
      <c r="K25" s="7">
        <f t="shared" si="2"/>
        <v>65119134</v>
      </c>
      <c r="L25" s="7">
        <f t="shared" si="3"/>
        <v>1718896714.3740122</v>
      </c>
      <c r="M25" s="7">
        <f t="shared" si="8"/>
        <v>1644612697.932554</v>
      </c>
      <c r="N25" s="7">
        <f t="shared" si="4"/>
        <v>140275679.64302424</v>
      </c>
      <c r="O25" s="7">
        <f t="shared" si="5"/>
        <v>3702742804.3649335</v>
      </c>
      <c r="P25" s="7">
        <f t="shared" si="6"/>
        <v>763466303.83335483</v>
      </c>
      <c r="Q25">
        <v>3</v>
      </c>
      <c r="R25">
        <v>4</v>
      </c>
      <c r="S25">
        <f>GDP!K38</f>
        <v>40173.03</v>
      </c>
      <c r="V25">
        <f t="shared" si="9"/>
        <v>-1.2590413834866145</v>
      </c>
      <c r="X25" s="13">
        <f t="shared" si="10"/>
        <v>148.94511250158976</v>
      </c>
      <c r="Y25" s="15">
        <v>47178.797999999995</v>
      </c>
      <c r="Z25" s="15">
        <v>398.80502359230832</v>
      </c>
    </row>
    <row r="26" spans="1:26" x14ac:dyDescent="0.25">
      <c r="A26" t="s">
        <v>51</v>
      </c>
      <c r="B26" s="7">
        <f>-CO2排放量!K39</f>
        <v>-381.50131998000006</v>
      </c>
      <c r="C26" s="7">
        <f>就业人口!K39</f>
        <v>3505</v>
      </c>
      <c r="D26" s="7">
        <f>资本存量!K39</f>
        <v>109203.90144024791</v>
      </c>
      <c r="E26" s="7">
        <f>能源消耗量!L39</f>
        <v>19610</v>
      </c>
      <c r="F26" s="7">
        <f t="shared" si="7"/>
        <v>43267.991319979999</v>
      </c>
      <c r="G26" s="7">
        <f t="shared" si="0"/>
        <v>12285025</v>
      </c>
      <c r="H26" s="7">
        <f t="shared" si="0"/>
        <v>11925492089.771379</v>
      </c>
      <c r="I26" s="7">
        <f t="shared" si="0"/>
        <v>384552100</v>
      </c>
      <c r="J26" s="7">
        <f t="shared" si="1"/>
        <v>382759674.54806894</v>
      </c>
      <c r="K26" s="7">
        <f t="shared" si="2"/>
        <v>68733050</v>
      </c>
      <c r="L26" s="7">
        <f t="shared" si="3"/>
        <v>2141488507.2432616</v>
      </c>
      <c r="M26" s="7">
        <f t="shared" si="8"/>
        <v>1872119072.8658645</v>
      </c>
      <c r="N26" s="7">
        <f t="shared" si="4"/>
        <v>151654309.57652989</v>
      </c>
      <c r="O26" s="7">
        <f t="shared" si="5"/>
        <v>4725033459.6245975</v>
      </c>
      <c r="P26" s="7">
        <f t="shared" si="6"/>
        <v>848485309.7848078</v>
      </c>
      <c r="Q26">
        <v>3</v>
      </c>
      <c r="R26">
        <v>5</v>
      </c>
      <c r="S26">
        <f>GDP!K39</f>
        <v>42886.49</v>
      </c>
      <c r="V26">
        <f t="shared" si="9"/>
        <v>-1.2457873922131515</v>
      </c>
      <c r="X26" s="13">
        <f t="shared" si="10"/>
        <v>147.37715989319003</v>
      </c>
      <c r="Y26" s="15">
        <v>47178.797999999995</v>
      </c>
      <c r="Z26" s="15">
        <v>398.80502359230832</v>
      </c>
    </row>
    <row r="27" spans="1:26" x14ac:dyDescent="0.25">
      <c r="A27" t="s">
        <v>52</v>
      </c>
      <c r="B27" s="7">
        <f>-CO2排放量!K40</f>
        <v>-379.17653735279634</v>
      </c>
      <c r="C27" s="7">
        <f>就业人口!K40</f>
        <v>3552</v>
      </c>
      <c r="D27" s="7">
        <f>资本存量!K40</f>
        <v>128291.32690198411</v>
      </c>
      <c r="E27" s="7">
        <f>能源消耗量!L40</f>
        <v>20275.599999999999</v>
      </c>
      <c r="F27" s="7">
        <f t="shared" si="7"/>
        <v>47630.536537352797</v>
      </c>
      <c r="G27" s="7">
        <f t="shared" si="0"/>
        <v>12616704</v>
      </c>
      <c r="H27" s="7">
        <f t="shared" si="0"/>
        <v>16458664558.271751</v>
      </c>
      <c r="I27" s="7">
        <f t="shared" si="0"/>
        <v>411099955.35999995</v>
      </c>
      <c r="J27" s="7">
        <f t="shared" si="1"/>
        <v>455690793.15584755</v>
      </c>
      <c r="K27" s="7">
        <f t="shared" si="2"/>
        <v>72018931.199999988</v>
      </c>
      <c r="L27" s="7">
        <f t="shared" si="3"/>
        <v>2601183627.7338686</v>
      </c>
      <c r="M27" s="7">
        <f t="shared" si="8"/>
        <v>2268668010.8360996</v>
      </c>
      <c r="N27" s="7">
        <f t="shared" si="4"/>
        <v>169183665.78067714</v>
      </c>
      <c r="O27" s="7">
        <f t="shared" si="5"/>
        <v>6110584733.4304256</v>
      </c>
      <c r="P27" s="7">
        <f t="shared" si="6"/>
        <v>965737706.61675024</v>
      </c>
      <c r="Q27">
        <v>3</v>
      </c>
      <c r="R27">
        <v>6</v>
      </c>
      <c r="S27">
        <f>GDP!K40</f>
        <v>47251.360000000001</v>
      </c>
      <c r="V27">
        <f t="shared" si="9"/>
        <v>-1.2374739788813132</v>
      </c>
      <c r="X27" s="13">
        <f t="shared" si="10"/>
        <v>146.39367968338638</v>
      </c>
      <c r="Y27" s="15">
        <v>47178.797999999995</v>
      </c>
      <c r="Z27" s="15">
        <v>398.80502359230832</v>
      </c>
    </row>
    <row r="28" spans="1:26" x14ac:dyDescent="0.25">
      <c r="A28" t="s">
        <v>53</v>
      </c>
      <c r="B28" s="7">
        <f>-CO2排放量!K41</f>
        <v>-401.44067626407002</v>
      </c>
      <c r="C28" s="7">
        <f>就业人口!K41</f>
        <v>3613</v>
      </c>
      <c r="D28" s="7">
        <f>资本存量!K41</f>
        <v>147101.34951939364</v>
      </c>
      <c r="E28" s="7">
        <f>能源消耗量!L41</f>
        <v>21030.01</v>
      </c>
      <c r="F28" s="7">
        <f t="shared" si="7"/>
        <v>52169.700676264074</v>
      </c>
      <c r="G28" s="7">
        <f t="shared" si="0"/>
        <v>13053769</v>
      </c>
      <c r="H28" s="7">
        <f t="shared" si="0"/>
        <v>21638807030.426811</v>
      </c>
      <c r="I28" s="7">
        <f t="shared" si="0"/>
        <v>442261320.60009992</v>
      </c>
      <c r="J28" s="7">
        <f t="shared" si="1"/>
        <v>531477175.81356925</v>
      </c>
      <c r="K28" s="7">
        <f t="shared" si="2"/>
        <v>75981426.129999995</v>
      </c>
      <c r="L28" s="7">
        <f t="shared" si="3"/>
        <v>3093542851.406343</v>
      </c>
      <c r="M28" s="7">
        <f t="shared" si="8"/>
        <v>2721677668.6509881</v>
      </c>
      <c r="N28" s="7">
        <f t="shared" si="4"/>
        <v>188489128.54334211</v>
      </c>
      <c r="O28" s="7">
        <f t="shared" si="5"/>
        <v>7674233373.5012684</v>
      </c>
      <c r="P28" s="7">
        <f t="shared" si="6"/>
        <v>1097129326.9188402</v>
      </c>
      <c r="Q28">
        <v>3</v>
      </c>
      <c r="R28">
        <v>7</v>
      </c>
      <c r="S28">
        <f>GDP!K41</f>
        <v>51768.26</v>
      </c>
      <c r="V28">
        <f t="shared" si="9"/>
        <v>-1.2290147501028799</v>
      </c>
      <c r="X28" s="13">
        <f t="shared" si="10"/>
        <v>145.39294944639349</v>
      </c>
      <c r="Y28" s="15">
        <v>47178.797999999995</v>
      </c>
      <c r="Z28" s="15">
        <v>398.80502359230832</v>
      </c>
    </row>
    <row r="29" spans="1:26" x14ac:dyDescent="0.25">
      <c r="A29" t="s">
        <v>54</v>
      </c>
      <c r="B29" s="7">
        <f>-CO2排放量!K42</f>
        <v>-401.65882535999998</v>
      </c>
      <c r="C29" s="7">
        <f>就业人口!K42</f>
        <v>3691</v>
      </c>
      <c r="D29" s="7">
        <f>资本存量!K42</f>
        <v>166315.55525553186</v>
      </c>
      <c r="E29" s="7">
        <f>能源消耗量!L42</f>
        <v>21674.560000000001</v>
      </c>
      <c r="F29" s="7">
        <f t="shared" si="7"/>
        <v>58404.658825359998</v>
      </c>
      <c r="G29" s="7">
        <f t="shared" si="0"/>
        <v>13623481</v>
      </c>
      <c r="H29" s="7">
        <f t="shared" si="0"/>
        <v>27660863919.955872</v>
      </c>
      <c r="I29" s="7">
        <f t="shared" si="0"/>
        <v>469786551.19360006</v>
      </c>
      <c r="J29" s="7">
        <f t="shared" si="1"/>
        <v>613870714.44816804</v>
      </c>
      <c r="K29" s="7">
        <f t="shared" si="2"/>
        <v>80000800.960000008</v>
      </c>
      <c r="L29" s="7">
        <f t="shared" si="3"/>
        <v>3604816481.3193407</v>
      </c>
      <c r="M29" s="7">
        <f t="shared" si="8"/>
        <v>3411104172.5067015</v>
      </c>
      <c r="N29" s="7">
        <f t="shared" si="4"/>
        <v>215571595.72440377</v>
      </c>
      <c r="O29" s="7">
        <f t="shared" si="5"/>
        <v>9713603262.0496464</v>
      </c>
      <c r="P29" s="7">
        <f t="shared" si="6"/>
        <v>1265895281.989795</v>
      </c>
      <c r="Q29">
        <v>3</v>
      </c>
      <c r="R29">
        <v>8</v>
      </c>
      <c r="S29">
        <f>GDP!K42</f>
        <v>58003</v>
      </c>
      <c r="V29">
        <f t="shared" si="9"/>
        <v>-1.2244501149608764</v>
      </c>
      <c r="X29" s="13">
        <f t="shared" si="10"/>
        <v>144.85295123531671</v>
      </c>
      <c r="Y29" s="15">
        <v>47178.797999999995</v>
      </c>
      <c r="Z29" s="15">
        <v>398.80502359230832</v>
      </c>
    </row>
    <row r="30" spans="1:26" x14ac:dyDescent="0.25">
      <c r="A30" t="s">
        <v>55</v>
      </c>
      <c r="B30" s="7">
        <f>-CO2排放量!K43</f>
        <v>-419.14662583999996</v>
      </c>
      <c r="C30" s="7">
        <f>就业人口!K43</f>
        <v>3771</v>
      </c>
      <c r="D30" s="7">
        <f>资本存量!K43</f>
        <v>187052.12670529081</v>
      </c>
      <c r="E30" s="7">
        <f>能源消耗量!L43</f>
        <v>22393</v>
      </c>
      <c r="F30" s="7">
        <f t="shared" si="7"/>
        <v>62770.886625840001</v>
      </c>
      <c r="G30" s="7">
        <f t="shared" si="0"/>
        <v>14220441</v>
      </c>
      <c r="H30" s="7">
        <f t="shared" si="0"/>
        <v>34988498104.972168</v>
      </c>
      <c r="I30" s="7">
        <f t="shared" si="0"/>
        <v>501446449</v>
      </c>
      <c r="J30" s="7">
        <f t="shared" si="1"/>
        <v>705373569.80565166</v>
      </c>
      <c r="K30" s="7">
        <f t="shared" si="2"/>
        <v>84444003</v>
      </c>
      <c r="L30" s="7">
        <f t="shared" si="3"/>
        <v>4188658273.3115768</v>
      </c>
      <c r="M30" s="7">
        <f t="shared" si="8"/>
        <v>3940184207.7940593</v>
      </c>
      <c r="N30" s="7">
        <f t="shared" si="4"/>
        <v>236709013.46604264</v>
      </c>
      <c r="O30" s="7">
        <f t="shared" si="5"/>
        <v>11741427838.540068</v>
      </c>
      <c r="P30" s="7">
        <f t="shared" si="6"/>
        <v>1405628464.2124352</v>
      </c>
      <c r="Q30">
        <v>3</v>
      </c>
      <c r="R30">
        <v>9</v>
      </c>
      <c r="S30">
        <f>GDP!K43</f>
        <v>62351.74</v>
      </c>
      <c r="V30">
        <f t="shared" si="9"/>
        <v>-1.2159917959177888</v>
      </c>
      <c r="X30" s="13">
        <f t="shared" si="10"/>
        <v>143.85232862038865</v>
      </c>
      <c r="Y30" s="15">
        <v>47178.797999999995</v>
      </c>
      <c r="Z30" s="15">
        <v>398.80502359230832</v>
      </c>
    </row>
    <row r="31" spans="1:26" x14ac:dyDescent="0.25">
      <c r="A31" t="s">
        <v>56</v>
      </c>
      <c r="B31" s="7">
        <f>-CO2排放量!K44</f>
        <v>-454.55451226666668</v>
      </c>
      <c r="C31" s="7">
        <f>就业人口!K44</f>
        <v>3857</v>
      </c>
      <c r="D31" s="7">
        <f>资本存量!K44</f>
        <v>207779.94199260455</v>
      </c>
      <c r="E31" s="7">
        <f>能源消耗量!L44</f>
        <v>24660</v>
      </c>
      <c r="F31" s="7">
        <f t="shared" si="7"/>
        <v>65067.894512266663</v>
      </c>
      <c r="G31" s="7">
        <f t="shared" si="0"/>
        <v>14876449</v>
      </c>
      <c r="H31" s="7">
        <f t="shared" si="0"/>
        <v>43172504294.450111</v>
      </c>
      <c r="I31" s="7">
        <f t="shared" si="0"/>
        <v>608115600</v>
      </c>
      <c r="J31" s="7">
        <f t="shared" si="1"/>
        <v>801407236.26547575</v>
      </c>
      <c r="K31" s="7">
        <f t="shared" si="2"/>
        <v>95113620</v>
      </c>
      <c r="L31" s="7">
        <f t="shared" si="3"/>
        <v>5123853369.5376282</v>
      </c>
      <c r="M31" s="7">
        <f t="shared" si="8"/>
        <v>4233830896.2594619</v>
      </c>
      <c r="N31" s="7">
        <f t="shared" si="4"/>
        <v>250966869.13381252</v>
      </c>
      <c r="O31" s="7">
        <f t="shared" si="5"/>
        <v>13519803347.33968</v>
      </c>
      <c r="P31" s="7">
        <f t="shared" si="6"/>
        <v>1604574278.6724958</v>
      </c>
      <c r="Q31">
        <v>3</v>
      </c>
      <c r="R31">
        <v>10</v>
      </c>
      <c r="S31">
        <f>GDP!K44</f>
        <v>64613.34</v>
      </c>
      <c r="V31">
        <f t="shared" si="9"/>
        <v>-1.1937016235556928</v>
      </c>
      <c r="X31" s="13">
        <f t="shared" si="10"/>
        <v>141.21539207986109</v>
      </c>
      <c r="Y31" s="15">
        <v>47178.797999999995</v>
      </c>
      <c r="Z31" s="15">
        <v>398.80502359230832</v>
      </c>
    </row>
    <row r="32" spans="1:26" x14ac:dyDescent="0.25">
      <c r="A32" t="s">
        <v>57</v>
      </c>
      <c r="B32" s="7">
        <f>-CO2排放量!K45</f>
        <v>-315.38719418666665</v>
      </c>
      <c r="C32" s="7">
        <f>就业人口!K45</f>
        <v>4120.8999999999996</v>
      </c>
      <c r="D32" s="7">
        <f>资本存量!K45</f>
        <v>39588.917883898524</v>
      </c>
      <c r="E32" s="7">
        <f>能源消耗量!L45</f>
        <v>10570.23</v>
      </c>
      <c r="F32" s="7">
        <f t="shared" si="7"/>
        <v>15616.037194186667</v>
      </c>
      <c r="G32" s="7">
        <f t="shared" si="0"/>
        <v>16981816.809999999</v>
      </c>
      <c r="H32" s="7">
        <f t="shared" si="0"/>
        <v>1567282419.2180605</v>
      </c>
      <c r="I32" s="7">
        <f t="shared" si="0"/>
        <v>111729762.25289999</v>
      </c>
      <c r="J32" s="7">
        <f t="shared" si="1"/>
        <v>163141971.70775741</v>
      </c>
      <c r="K32" s="7">
        <f t="shared" si="2"/>
        <v>43558860.806999996</v>
      </c>
      <c r="L32" s="7">
        <f t="shared" si="3"/>
        <v>418463967.48392069</v>
      </c>
      <c r="M32" s="7">
        <f t="shared" si="8"/>
        <v>243860617.65022138</v>
      </c>
      <c r="N32" s="7">
        <f t="shared" si="4"/>
        <v>64352127.673523828</v>
      </c>
      <c r="O32" s="7">
        <f t="shared" si="5"/>
        <v>618222014.15256107</v>
      </c>
      <c r="P32" s="7">
        <f t="shared" si="6"/>
        <v>165065104.83110774</v>
      </c>
      <c r="Q32">
        <v>4</v>
      </c>
      <c r="R32">
        <v>1</v>
      </c>
      <c r="S32">
        <f>GDP!K45</f>
        <v>15300.65</v>
      </c>
      <c r="V32">
        <f t="shared" si="9"/>
        <v>-1.342370514751152</v>
      </c>
      <c r="X32" s="13">
        <f t="shared" si="10"/>
        <v>89.925830408307334</v>
      </c>
      <c r="Y32" s="15">
        <v>25582.7545316</v>
      </c>
      <c r="Z32" s="15">
        <v>381.88733107505215</v>
      </c>
    </row>
    <row r="33" spans="1:26" x14ac:dyDescent="0.25">
      <c r="A33" t="s">
        <v>58</v>
      </c>
      <c r="B33" s="7">
        <f>-CO2排放量!K46</f>
        <v>-355.90699673333341</v>
      </c>
      <c r="C33" s="7">
        <f>就业人口!K46</f>
        <v>4206.8</v>
      </c>
      <c r="D33" s="7">
        <f>资本存量!K46</f>
        <v>50843.332767044267</v>
      </c>
      <c r="E33" s="7">
        <f>能源消耗量!L46</f>
        <v>11357.95</v>
      </c>
      <c r="F33" s="7">
        <f t="shared" si="7"/>
        <v>17567.957611733334</v>
      </c>
      <c r="G33" s="7">
        <f t="shared" si="0"/>
        <v>17697166.240000002</v>
      </c>
      <c r="H33" s="7">
        <f t="shared" si="0"/>
        <v>2585044486.8603973</v>
      </c>
      <c r="I33" s="7">
        <f t="shared" si="0"/>
        <v>129003028.20250002</v>
      </c>
      <c r="J33" s="7">
        <f t="shared" si="1"/>
        <v>213887732.28440183</v>
      </c>
      <c r="K33" s="7">
        <f t="shared" si="2"/>
        <v>47780624.060000002</v>
      </c>
      <c r="L33" s="7">
        <f t="shared" si="3"/>
        <v>577476031.40145051</v>
      </c>
      <c r="M33" s="7">
        <f t="shared" si="8"/>
        <v>308633134.64765918</v>
      </c>
      <c r="N33" s="7">
        <f t="shared" si="4"/>
        <v>73904884.081039801</v>
      </c>
      <c r="O33" s="7">
        <f t="shared" si="5"/>
        <v>893213514.89068615</v>
      </c>
      <c r="P33" s="7">
        <f t="shared" si="6"/>
        <v>199535984.15618664</v>
      </c>
      <c r="Q33">
        <v>4</v>
      </c>
      <c r="R33">
        <v>2</v>
      </c>
      <c r="S33">
        <f>GDP!K46</f>
        <v>17212.050615</v>
      </c>
      <c r="V33">
        <f t="shared" si="9"/>
        <v>-1.3209053662353023</v>
      </c>
      <c r="X33" s="13">
        <f t="shared" si="10"/>
        <v>88.48787323931866</v>
      </c>
      <c r="Y33" s="15">
        <v>25582.7545316</v>
      </c>
      <c r="Z33" s="15">
        <v>381.88733107505215</v>
      </c>
    </row>
    <row r="34" spans="1:26" x14ac:dyDescent="0.25">
      <c r="A34" t="s">
        <v>59</v>
      </c>
      <c r="B34" s="7">
        <f>-CO2排放量!K47</f>
        <v>-387.18004041333324</v>
      </c>
      <c r="C34" s="7">
        <f>就业人口!K47</f>
        <v>4275.8999999999996</v>
      </c>
      <c r="D34" s="7">
        <f>资本存量!K47</f>
        <v>64213.49402140802</v>
      </c>
      <c r="E34" s="7">
        <f>能源消耗量!L47</f>
        <v>12060.36</v>
      </c>
      <c r="F34" s="7">
        <f t="shared" si="7"/>
        <v>19616.517140413333</v>
      </c>
      <c r="G34" s="7">
        <f t="shared" ref="G34:I65" si="11">C34*C34</f>
        <v>18283320.809999999</v>
      </c>
      <c r="H34" s="7">
        <f t="shared" si="11"/>
        <v>4123372814.4374037</v>
      </c>
      <c r="I34" s="7">
        <f t="shared" si="11"/>
        <v>145452283.32960001</v>
      </c>
      <c r="J34" s="7">
        <f t="shared" si="1"/>
        <v>274570479.08613855</v>
      </c>
      <c r="K34" s="7">
        <f t="shared" si="2"/>
        <v>51568893.324000001</v>
      </c>
      <c r="L34" s="7">
        <f t="shared" si="3"/>
        <v>774437854.75602841</v>
      </c>
      <c r="M34" s="7">
        <f t="shared" si="8"/>
        <v>384807744.72013009</v>
      </c>
      <c r="N34" s="7">
        <f t="shared" si="4"/>
        <v>83878265.640693367</v>
      </c>
      <c r="O34" s="7">
        <f t="shared" si="5"/>
        <v>1259645106.1167796</v>
      </c>
      <c r="P34" s="7">
        <f t="shared" si="6"/>
        <v>236582258.65955535</v>
      </c>
      <c r="Q34">
        <v>4</v>
      </c>
      <c r="R34">
        <v>3</v>
      </c>
      <c r="S34">
        <f>GDP!K47</f>
        <v>19229.337100000001</v>
      </c>
      <c r="V34">
        <f t="shared" si="9"/>
        <v>-1.3027272907477414</v>
      </c>
      <c r="X34" s="13">
        <f t="shared" si="10"/>
        <v>87.270118144521419</v>
      </c>
      <c r="Y34" s="15">
        <v>25582.7545316</v>
      </c>
      <c r="Z34" s="15">
        <v>381.88733107505215</v>
      </c>
    </row>
    <row r="35" spans="1:26" x14ac:dyDescent="0.25">
      <c r="A35" t="s">
        <v>60</v>
      </c>
      <c r="B35" s="7">
        <f>-CO2排放量!K48</f>
        <v>-401.79524150701002</v>
      </c>
      <c r="C35" s="7">
        <f>就业人口!K48</f>
        <v>4311</v>
      </c>
      <c r="D35" s="7">
        <f>资本存量!K48</f>
        <v>79305.292495352856</v>
      </c>
      <c r="E35" s="7">
        <f>能源消耗量!L48</f>
        <v>12011.02</v>
      </c>
      <c r="F35" s="7">
        <f t="shared" si="7"/>
        <v>21250.542842507009</v>
      </c>
      <c r="G35" s="7">
        <f t="shared" si="11"/>
        <v>18584721</v>
      </c>
      <c r="H35" s="7">
        <f t="shared" si="11"/>
        <v>6289329417.7734699</v>
      </c>
      <c r="I35" s="7">
        <f t="shared" si="11"/>
        <v>144264601.4404</v>
      </c>
      <c r="J35" s="7">
        <f t="shared" si="1"/>
        <v>341885115.94746614</v>
      </c>
      <c r="K35" s="7">
        <f t="shared" si="2"/>
        <v>51779507.219999999</v>
      </c>
      <c r="L35" s="7">
        <f t="shared" si="3"/>
        <v>952537454.26753306</v>
      </c>
      <c r="M35" s="7">
        <f t="shared" si="8"/>
        <v>451585571.10122591</v>
      </c>
      <c r="N35" s="7">
        <f t="shared" si="4"/>
        <v>91611090.194047719</v>
      </c>
      <c r="O35" s="7">
        <f t="shared" si="5"/>
        <v>1685280515.8100455</v>
      </c>
      <c r="P35" s="7">
        <f t="shared" si="6"/>
        <v>255240695.09220856</v>
      </c>
      <c r="Q35">
        <v>4</v>
      </c>
      <c r="R35">
        <v>4</v>
      </c>
      <c r="S35">
        <f>GDP!K48</f>
        <v>20848.747600999999</v>
      </c>
      <c r="V35">
        <f t="shared" si="9"/>
        <v>-1.2971358505381396</v>
      </c>
      <c r="X35" s="13">
        <f t="shared" si="10"/>
        <v>86.895545775342072</v>
      </c>
      <c r="Y35" s="15">
        <v>25582.7545316</v>
      </c>
      <c r="Z35" s="15">
        <v>381.88733107505215</v>
      </c>
    </row>
    <row r="36" spans="1:26" x14ac:dyDescent="0.25">
      <c r="A36" t="s">
        <v>61</v>
      </c>
      <c r="B36" s="7">
        <f>-CO2排放量!K49</f>
        <v>-392.8482954266666</v>
      </c>
      <c r="C36" s="7">
        <f>就业人口!K49</f>
        <v>4342.1000000000004</v>
      </c>
      <c r="D36" s="7">
        <f>资本存量!K49</f>
        <v>95657.535915798988</v>
      </c>
      <c r="E36" s="7">
        <f>能源消耗量!L49</f>
        <v>12301.23</v>
      </c>
      <c r="F36" s="7">
        <f t="shared" si="7"/>
        <v>22398.478295426667</v>
      </c>
      <c r="G36" s="7">
        <f t="shared" si="11"/>
        <v>18853832.410000004</v>
      </c>
      <c r="H36" s="7">
        <f t="shared" si="11"/>
        <v>9150364177.4823742</v>
      </c>
      <c r="I36" s="7">
        <f t="shared" si="11"/>
        <v>151320259.51289999</v>
      </c>
      <c r="J36" s="7">
        <f t="shared" si="1"/>
        <v>415354586.69999081</v>
      </c>
      <c r="K36" s="7">
        <f t="shared" si="2"/>
        <v>53413170.783</v>
      </c>
      <c r="L36" s="7">
        <f t="shared" si="3"/>
        <v>1176705350.533504</v>
      </c>
      <c r="M36" s="7">
        <f t="shared" si="8"/>
        <v>501691829.95069945</v>
      </c>
      <c r="N36" s="7">
        <f t="shared" si="4"/>
        <v>97256432.606572136</v>
      </c>
      <c r="O36" s="7">
        <f t="shared" si="5"/>
        <v>2142583242.0040205</v>
      </c>
      <c r="P36" s="7">
        <f t="shared" si="6"/>
        <v>275528833.16205138</v>
      </c>
      <c r="Q36">
        <v>4</v>
      </c>
      <c r="R36">
        <v>5</v>
      </c>
      <c r="S36">
        <f>GDP!K49</f>
        <v>22005.63</v>
      </c>
      <c r="V36">
        <f t="shared" si="9"/>
        <v>-1.2844868720698623</v>
      </c>
      <c r="X36" s="13">
        <f t="shared" si="10"/>
        <v>86.048186659451858</v>
      </c>
      <c r="Y36" s="15">
        <v>25582.7545316</v>
      </c>
      <c r="Z36" s="15">
        <v>381.88733107505215</v>
      </c>
    </row>
    <row r="37" spans="1:26" x14ac:dyDescent="0.25">
      <c r="A37" t="s">
        <v>62</v>
      </c>
      <c r="B37" s="7">
        <f>-CO2排放量!K50</f>
        <v>-380.1773146818087</v>
      </c>
      <c r="C37" s="7">
        <f>就业人口!K50</f>
        <v>4361.6000000000004</v>
      </c>
      <c r="D37" s="7">
        <f>资本存量!K50</f>
        <v>113232.52396788228</v>
      </c>
      <c r="E37" s="7">
        <f>能源消耗量!L50</f>
        <v>12662.89</v>
      </c>
      <c r="F37" s="7">
        <f t="shared" si="7"/>
        <v>24787.797314681808</v>
      </c>
      <c r="G37" s="7">
        <f t="shared" si="11"/>
        <v>19023554.560000002</v>
      </c>
      <c r="H37" s="7">
        <f t="shared" si="11"/>
        <v>12821604484.137035</v>
      </c>
      <c r="I37" s="7">
        <f t="shared" si="11"/>
        <v>160348783.1521</v>
      </c>
      <c r="J37" s="7">
        <f t="shared" si="1"/>
        <v>493874976.53831542</v>
      </c>
      <c r="K37" s="7">
        <f t="shared" si="2"/>
        <v>55230461.024000004</v>
      </c>
      <c r="L37" s="7">
        <f t="shared" si="3"/>
        <v>1433850995.4276569</v>
      </c>
      <c r="M37" s="7">
        <f t="shared" si="8"/>
        <v>614434895.71374667</v>
      </c>
      <c r="N37" s="7">
        <f t="shared" si="4"/>
        <v>108114456.76771618</v>
      </c>
      <c r="O37" s="7">
        <f t="shared" si="5"/>
        <v>2806784853.5457158</v>
      </c>
      <c r="P37" s="7">
        <f t="shared" si="6"/>
        <v>313885150.73811108</v>
      </c>
      <c r="Q37">
        <v>4</v>
      </c>
      <c r="R37">
        <v>6</v>
      </c>
      <c r="S37">
        <f>GDP!K50</f>
        <v>24407.62</v>
      </c>
      <c r="V37">
        <f t="shared" si="9"/>
        <v>-1.2744156983327934</v>
      </c>
      <c r="X37" s="13">
        <f t="shared" si="10"/>
        <v>85.373515507530627</v>
      </c>
      <c r="Y37" s="15">
        <v>25582.7545316</v>
      </c>
      <c r="Z37" s="15">
        <v>381.88733107505215</v>
      </c>
    </row>
    <row r="38" spans="1:26" x14ac:dyDescent="0.25">
      <c r="A38" t="s">
        <v>63</v>
      </c>
      <c r="B38" s="7">
        <f>-CO2排放量!K51</f>
        <v>-397.01638282836916</v>
      </c>
      <c r="C38" s="7">
        <f>就业人口!K51</f>
        <v>4377.8999999999996</v>
      </c>
      <c r="D38" s="7">
        <f>资本存量!K51</f>
        <v>131548.15806696558</v>
      </c>
      <c r="E38" s="7">
        <f>能源消耗量!L51</f>
        <v>13018.71</v>
      </c>
      <c r="F38" s="7">
        <f t="shared" si="7"/>
        <v>27415.016382828369</v>
      </c>
      <c r="G38" s="7">
        <f t="shared" si="11"/>
        <v>19166008.409999996</v>
      </c>
      <c r="H38" s="7">
        <f t="shared" si="11"/>
        <v>17304917890.811363</v>
      </c>
      <c r="I38" s="7">
        <f t="shared" si="11"/>
        <v>169486810.06409997</v>
      </c>
      <c r="J38" s="7">
        <f t="shared" si="1"/>
        <v>575904681.20136857</v>
      </c>
      <c r="K38" s="7">
        <f t="shared" si="2"/>
        <v>56994610.508999988</v>
      </c>
      <c r="L38" s="7">
        <f t="shared" si="3"/>
        <v>1712587320.9079854</v>
      </c>
      <c r="M38" s="7">
        <f t="shared" si="8"/>
        <v>751583123.2707479</v>
      </c>
      <c r="N38" s="7">
        <f t="shared" si="4"/>
        <v>120020200.2223843</v>
      </c>
      <c r="O38" s="7">
        <f t="shared" si="5"/>
        <v>3606394908.5367575</v>
      </c>
      <c r="P38" s="7">
        <f t="shared" si="6"/>
        <v>356908147.93329149</v>
      </c>
      <c r="Q38">
        <v>4</v>
      </c>
      <c r="R38">
        <v>7</v>
      </c>
      <c r="S38">
        <f>GDP!K51</f>
        <v>27018</v>
      </c>
      <c r="V38">
        <f t="shared" si="9"/>
        <v>-1.2653223148463744</v>
      </c>
      <c r="X38" s="13">
        <f t="shared" si="10"/>
        <v>84.764346837441792</v>
      </c>
      <c r="Y38" s="15">
        <v>25582.7545316</v>
      </c>
      <c r="Z38" s="15">
        <v>381.88733107505215</v>
      </c>
    </row>
    <row r="39" spans="1:26" x14ac:dyDescent="0.25">
      <c r="A39" t="s">
        <v>64</v>
      </c>
      <c r="B39" s="7">
        <f>-CO2排放量!K52</f>
        <v>-392.42850410666665</v>
      </c>
      <c r="C39" s="7">
        <f>就业人口!K52</f>
        <v>4385.2999999999993</v>
      </c>
      <c r="D39" s="7">
        <f>资本存量!K52</f>
        <v>151549.4341477369</v>
      </c>
      <c r="E39" s="7">
        <f>能源消耗量!L52</f>
        <v>13294.71</v>
      </c>
      <c r="F39" s="7">
        <f t="shared" si="7"/>
        <v>34403.32850410667</v>
      </c>
      <c r="G39" s="7">
        <f t="shared" si="11"/>
        <v>19230856.089999992</v>
      </c>
      <c r="H39" s="7">
        <f t="shared" si="11"/>
        <v>22967230990.499245</v>
      </c>
      <c r="I39" s="7">
        <f t="shared" si="11"/>
        <v>176749313.98409998</v>
      </c>
      <c r="J39" s="7">
        <f t="shared" si="1"/>
        <v>664589733.56807053</v>
      </c>
      <c r="K39" s="7">
        <f t="shared" si="2"/>
        <v>58301291.762999989</v>
      </c>
      <c r="L39" s="7">
        <f t="shared" si="3"/>
        <v>2014805777.6582592</v>
      </c>
      <c r="M39" s="7">
        <f t="shared" si="8"/>
        <v>1183589012.1614785</v>
      </c>
      <c r="N39" s="7">
        <f t="shared" si="4"/>
        <v>150868916.48905894</v>
      </c>
      <c r="O39" s="7">
        <f t="shared" si="5"/>
        <v>5213804967.5960741</v>
      </c>
      <c r="P39" s="7">
        <f t="shared" si="6"/>
        <v>457382275.49683195</v>
      </c>
      <c r="Q39">
        <v>4</v>
      </c>
      <c r="R39">
        <v>8</v>
      </c>
      <c r="S39">
        <f>GDP!K52</f>
        <v>34010.9</v>
      </c>
      <c r="V39">
        <f t="shared" si="9"/>
        <v>-1.2667128528707596</v>
      </c>
      <c r="X39" s="13">
        <f t="shared" si="10"/>
        <v>84.857499424736474</v>
      </c>
      <c r="Y39" s="15">
        <v>25582.7545316</v>
      </c>
      <c r="Z39" s="15">
        <v>381.88733107505215</v>
      </c>
    </row>
    <row r="40" spans="1:26" x14ac:dyDescent="0.25">
      <c r="A40" t="s">
        <v>65</v>
      </c>
      <c r="B40" s="7">
        <f>-CO2排放量!K53</f>
        <v>-398.96247093333324</v>
      </c>
      <c r="C40" s="7">
        <f>就业人口!K53</f>
        <v>4384</v>
      </c>
      <c r="D40" s="7">
        <f>资本存量!K53</f>
        <v>172632.53845623255</v>
      </c>
      <c r="E40" s="7">
        <f>能源消耗量!L53</f>
        <v>13869.73</v>
      </c>
      <c r="F40" s="7">
        <f t="shared" si="7"/>
        <v>37512.94247093334</v>
      </c>
      <c r="G40" s="7">
        <f t="shared" si="11"/>
        <v>19219456</v>
      </c>
      <c r="H40" s="7">
        <f t="shared" si="11"/>
        <v>29801993333.842609</v>
      </c>
      <c r="I40" s="7">
        <f t="shared" si="11"/>
        <v>192369410.27289999</v>
      </c>
      <c r="J40" s="7">
        <f t="shared" si="1"/>
        <v>756821048.59212351</v>
      </c>
      <c r="K40" s="7">
        <f t="shared" si="2"/>
        <v>60804896.32</v>
      </c>
      <c r="L40" s="7">
        <f t="shared" si="3"/>
        <v>2394366697.6025624</v>
      </c>
      <c r="M40" s="7">
        <f t="shared" si="8"/>
        <v>1407220852.8275542</v>
      </c>
      <c r="N40" s="7">
        <f t="shared" si="4"/>
        <v>164456739.79257175</v>
      </c>
      <c r="O40" s="7">
        <f t="shared" si="5"/>
        <v>6475954483.7198391</v>
      </c>
      <c r="P40" s="7">
        <f t="shared" si="6"/>
        <v>520294383.57737827</v>
      </c>
      <c r="Q40">
        <v>4</v>
      </c>
      <c r="R40">
        <v>9</v>
      </c>
      <c r="S40">
        <f>GDP!K53</f>
        <v>37113.980000000003</v>
      </c>
      <c r="V40">
        <f t="shared" si="9"/>
        <v>-1.2554021934907151</v>
      </c>
      <c r="X40" s="13">
        <f t="shared" si="10"/>
        <v>84.099794732895447</v>
      </c>
      <c r="Y40" s="15">
        <v>25582.7545316</v>
      </c>
      <c r="Z40" s="15">
        <v>381.88733107505215</v>
      </c>
    </row>
    <row r="41" spans="1:26" x14ac:dyDescent="0.25">
      <c r="A41" t="s">
        <v>66</v>
      </c>
      <c r="B41" s="7">
        <f>-CO2排放量!K54</f>
        <v>-397.17086993333334</v>
      </c>
      <c r="C41" s="7">
        <f>就业人口!K54</f>
        <v>3243</v>
      </c>
      <c r="D41" s="7">
        <f>资本存量!K54</f>
        <v>193508.88910043324</v>
      </c>
      <c r="E41" s="7">
        <f>能源消耗量!L54</f>
        <v>14697.9</v>
      </c>
      <c r="F41" s="7">
        <f t="shared" si="7"/>
        <v>39077.80086993333</v>
      </c>
      <c r="G41" s="7">
        <f t="shared" si="11"/>
        <v>10517049</v>
      </c>
      <c r="H41" s="7">
        <f t="shared" si="11"/>
        <v>37445690160.883774</v>
      </c>
      <c r="I41" s="7">
        <f t="shared" si="11"/>
        <v>216028264.41</v>
      </c>
      <c r="J41" s="7">
        <f t="shared" si="1"/>
        <v>627549327.352705</v>
      </c>
      <c r="K41" s="7">
        <f t="shared" si="2"/>
        <v>47665289.699999996</v>
      </c>
      <c r="L41" s="7">
        <f t="shared" si="3"/>
        <v>2844174301.1092577</v>
      </c>
      <c r="M41" s="7">
        <f t="shared" si="8"/>
        <v>1527074520.830162</v>
      </c>
      <c r="N41" s="7">
        <f t="shared" si="4"/>
        <v>126729308.22119379</v>
      </c>
      <c r="O41" s="7">
        <f t="shared" si="5"/>
        <v>7561901834.828742</v>
      </c>
      <c r="P41" s="7">
        <f t="shared" si="6"/>
        <v>574361609.40619302</v>
      </c>
      <c r="Q41">
        <v>4</v>
      </c>
      <c r="R41">
        <v>10</v>
      </c>
      <c r="S41">
        <f>GDP!K54</f>
        <v>38680.629999999997</v>
      </c>
      <c r="V41">
        <f t="shared" si="9"/>
        <v>-1.2607260962336786</v>
      </c>
      <c r="X41" s="13">
        <f t="shared" si="10"/>
        <v>84.456444681559432</v>
      </c>
      <c r="Y41" s="15">
        <v>25582.7545316</v>
      </c>
      <c r="Z41" s="15">
        <v>381.88733107505215</v>
      </c>
    </row>
    <row r="42" spans="1:26" x14ac:dyDescent="0.25">
      <c r="A42" t="s">
        <v>67</v>
      </c>
      <c r="B42" s="7">
        <f>-CO2排放量!K55</f>
        <v>-740.51600992666636</v>
      </c>
      <c r="C42" s="7">
        <f>就业人口!K55</f>
        <v>1388</v>
      </c>
      <c r="D42" s="7">
        <f>资本存量!K55</f>
        <v>33951.853386288087</v>
      </c>
      <c r="E42" s="7">
        <f>能源消耗量!L55</f>
        <v>16140.03</v>
      </c>
      <c r="F42" s="7">
        <f t="shared" si="7"/>
        <v>15100.396009926666</v>
      </c>
      <c r="G42" s="7">
        <f t="shared" si="11"/>
        <v>1926544</v>
      </c>
      <c r="H42" s="7">
        <f t="shared" si="11"/>
        <v>1152728348.3640018</v>
      </c>
      <c r="I42" s="7">
        <f t="shared" si="11"/>
        <v>260500568.40090001</v>
      </c>
      <c r="J42" s="7">
        <f t="shared" si="1"/>
        <v>47125172.500167862</v>
      </c>
      <c r="K42" s="7">
        <f t="shared" si="2"/>
        <v>22402361.640000001</v>
      </c>
      <c r="L42" s="7">
        <f t="shared" si="3"/>
        <v>547983932.21029139</v>
      </c>
      <c r="M42" s="7">
        <f t="shared" si="8"/>
        <v>228021959.65660918</v>
      </c>
      <c r="N42" s="7">
        <f t="shared" si="4"/>
        <v>20959349.661778212</v>
      </c>
      <c r="O42" s="7">
        <f t="shared" si="5"/>
        <v>512686431.40391982</v>
      </c>
      <c r="P42" s="7">
        <f t="shared" si="6"/>
        <v>243720844.6120967</v>
      </c>
      <c r="Q42">
        <v>5</v>
      </c>
      <c r="R42">
        <v>1</v>
      </c>
      <c r="S42">
        <f>GDP!K55</f>
        <v>14359.88</v>
      </c>
      <c r="V42">
        <f t="shared" si="9"/>
        <v>-1.320423599683022</v>
      </c>
      <c r="X42" s="13">
        <f t="shared" si="10"/>
        <v>26.776823489218799</v>
      </c>
      <c r="Y42" s="15">
        <v>16769.611938800001</v>
      </c>
      <c r="Z42" s="15">
        <v>826.94616000412259</v>
      </c>
    </row>
    <row r="43" spans="1:26" x14ac:dyDescent="0.25">
      <c r="A43" t="s">
        <v>68</v>
      </c>
      <c r="B43" s="7">
        <f>-CO2排放量!K56</f>
        <v>-788.69167383633328</v>
      </c>
      <c r="C43" s="7">
        <f>就业人口!K56</f>
        <v>1379</v>
      </c>
      <c r="D43" s="7">
        <f>资本存量!K56</f>
        <v>42568.215461204432</v>
      </c>
      <c r="E43" s="7">
        <f>能源消耗量!L56</f>
        <v>16912.919999999998</v>
      </c>
      <c r="F43" s="7">
        <f t="shared" si="7"/>
        <v>16669.270517836332</v>
      </c>
      <c r="G43" s="7">
        <f t="shared" si="11"/>
        <v>1901641</v>
      </c>
      <c r="H43" s="7">
        <f t="shared" si="11"/>
        <v>1812052967.5515242</v>
      </c>
      <c r="I43" s="7">
        <f t="shared" si="11"/>
        <v>286046862.92639995</v>
      </c>
      <c r="J43" s="7">
        <f t="shared" si="1"/>
        <v>58701569.121000916</v>
      </c>
      <c r="K43" s="7">
        <f t="shared" si="2"/>
        <v>23322916.679999996</v>
      </c>
      <c r="L43" s="7">
        <f t="shared" si="3"/>
        <v>719952822.63811362</v>
      </c>
      <c r="M43" s="7">
        <f t="shared" si="8"/>
        <v>277864579.59680754</v>
      </c>
      <c r="N43" s="7">
        <f t="shared" si="4"/>
        <v>22986924.044096302</v>
      </c>
      <c r="O43" s="7">
        <f t="shared" si="5"/>
        <v>709581098.98435974</v>
      </c>
      <c r="P43" s="7">
        <f t="shared" si="6"/>
        <v>281926038.72652441</v>
      </c>
      <c r="Q43">
        <v>5</v>
      </c>
      <c r="R43">
        <v>2</v>
      </c>
      <c r="S43">
        <f>GDP!K56</f>
        <v>15880.578844</v>
      </c>
      <c r="V43">
        <f t="shared" si="9"/>
        <v>-1.3051097778532457</v>
      </c>
      <c r="X43" s="13">
        <f t="shared" si="10"/>
        <v>26.466275037812974</v>
      </c>
      <c r="Y43" s="15">
        <v>16769.611938800001</v>
      </c>
      <c r="Z43" s="15">
        <v>826.94616000412259</v>
      </c>
    </row>
    <row r="44" spans="1:26" x14ac:dyDescent="0.25">
      <c r="A44" t="s">
        <v>69</v>
      </c>
      <c r="B44" s="7">
        <f>-CO2排放量!K57</f>
        <v>-783.74308548666647</v>
      </c>
      <c r="C44" s="7">
        <f>就业人口!K57</f>
        <v>1370</v>
      </c>
      <c r="D44" s="7">
        <f>资本存量!K57</f>
        <v>52699.04437692881</v>
      </c>
      <c r="E44" s="7">
        <f>能源消耗量!L57</f>
        <v>17544.169999999998</v>
      </c>
      <c r="F44" s="7">
        <f t="shared" si="7"/>
        <v>17700.246027486664</v>
      </c>
      <c r="G44" s="7">
        <f t="shared" si="11"/>
        <v>1876900</v>
      </c>
      <c r="H44" s="7">
        <f t="shared" si="11"/>
        <v>2777189278.2415123</v>
      </c>
      <c r="I44" s="7">
        <f t="shared" si="11"/>
        <v>307797900.98889995</v>
      </c>
      <c r="J44" s="7">
        <f t="shared" si="1"/>
        <v>72197690.796392471</v>
      </c>
      <c r="K44" s="7">
        <f t="shared" si="2"/>
        <v>24035512.899999999</v>
      </c>
      <c r="L44" s="7">
        <f t="shared" si="3"/>
        <v>924560993.38638306</v>
      </c>
      <c r="M44" s="7">
        <f t="shared" si="8"/>
        <v>313298709.43355745</v>
      </c>
      <c r="N44" s="7">
        <f t="shared" si="4"/>
        <v>24249337.057656731</v>
      </c>
      <c r="O44" s="7">
        <f t="shared" si="5"/>
        <v>932786050.8850776</v>
      </c>
      <c r="P44" s="7">
        <f t="shared" si="6"/>
        <v>310536125.34805065</v>
      </c>
      <c r="Q44">
        <v>5</v>
      </c>
      <c r="R44">
        <v>3</v>
      </c>
      <c r="S44">
        <f>GDP!K57</f>
        <v>16916.502941999999</v>
      </c>
      <c r="V44">
        <f t="shared" si="9"/>
        <v>-1.2910223051514786</v>
      </c>
      <c r="X44" s="13">
        <f t="shared" si="10"/>
        <v>26.18059567701167</v>
      </c>
      <c r="Y44" s="15">
        <v>16769.611938800001</v>
      </c>
      <c r="Z44" s="15">
        <v>826.94616000412259</v>
      </c>
    </row>
    <row r="45" spans="1:26" x14ac:dyDescent="0.25">
      <c r="A45" t="s">
        <v>70</v>
      </c>
      <c r="B45" s="7">
        <f>-CO2排放量!K58</f>
        <v>-806.00009000000023</v>
      </c>
      <c r="C45" s="7">
        <f>就业人口!K58</f>
        <v>1360</v>
      </c>
      <c r="D45" s="7">
        <f>资本存量!K58</f>
        <v>65231.762216743642</v>
      </c>
      <c r="E45" s="7">
        <f>能源消耗量!L58</f>
        <v>18167.46</v>
      </c>
      <c r="F45" s="7">
        <f t="shared" si="7"/>
        <v>18576.188909</v>
      </c>
      <c r="G45" s="7">
        <f t="shared" si="11"/>
        <v>1849600</v>
      </c>
      <c r="H45" s="7">
        <f t="shared" si="11"/>
        <v>4255182801.9017835</v>
      </c>
      <c r="I45" s="7">
        <f t="shared" si="11"/>
        <v>330056602.85159999</v>
      </c>
      <c r="J45" s="7">
        <f t="shared" si="1"/>
        <v>88715196.614771351</v>
      </c>
      <c r="K45" s="7">
        <f t="shared" si="2"/>
        <v>24707745.599999998</v>
      </c>
      <c r="L45" s="7">
        <f t="shared" si="3"/>
        <v>1185095430.8022015</v>
      </c>
      <c r="M45" s="7">
        <f t="shared" si="8"/>
        <v>345074794.38285464</v>
      </c>
      <c r="N45" s="7">
        <f t="shared" si="4"/>
        <v>25263616.916239999</v>
      </c>
      <c r="O45" s="7">
        <f t="shared" si="5"/>
        <v>1211757537.8051984</v>
      </c>
      <c r="P45" s="7">
        <f t="shared" si="6"/>
        <v>337482168.95670116</v>
      </c>
      <c r="Q45">
        <v>5</v>
      </c>
      <c r="R45">
        <v>4</v>
      </c>
      <c r="S45">
        <f>GDP!K58</f>
        <v>17770.188818999999</v>
      </c>
      <c r="V45">
        <f t="shared" si="9"/>
        <v>-1.2765486862150299</v>
      </c>
      <c r="X45" s="13">
        <f t="shared" si="10"/>
        <v>25.887085670370968</v>
      </c>
      <c r="Y45" s="15">
        <v>16769.611938800001</v>
      </c>
      <c r="Z45" s="15">
        <v>826.94616000412259</v>
      </c>
    </row>
    <row r="46" spans="1:26" x14ac:dyDescent="0.25">
      <c r="A46" t="s">
        <v>71</v>
      </c>
      <c r="B46" s="7">
        <f>-CO2排放量!K59</f>
        <v>-753.79994189333365</v>
      </c>
      <c r="C46" s="7">
        <f>就业人口!K59</f>
        <v>1351</v>
      </c>
      <c r="D46" s="7">
        <f>资本存量!K59</f>
        <v>72671.734743936249</v>
      </c>
      <c r="E46" s="7">
        <f>能源消耗量!L59</f>
        <v>18783.71</v>
      </c>
      <c r="F46" s="7">
        <f t="shared" si="7"/>
        <v>18585.308724893333</v>
      </c>
      <c r="G46" s="7">
        <f t="shared" si="11"/>
        <v>1825201</v>
      </c>
      <c r="H46" s="7">
        <f t="shared" si="11"/>
        <v>5281181030.6930313</v>
      </c>
      <c r="I46" s="7">
        <f t="shared" si="11"/>
        <v>352827761.36409998</v>
      </c>
      <c r="J46" s="7">
        <f t="shared" si="1"/>
        <v>98179513.639057875</v>
      </c>
      <c r="K46" s="7">
        <f t="shared" si="2"/>
        <v>25376792.209999997</v>
      </c>
      <c r="L46" s="7">
        <f t="shared" si="3"/>
        <v>1365044790.6270227</v>
      </c>
      <c r="M46" s="7">
        <f t="shared" si="8"/>
        <v>345413700.39959627</v>
      </c>
      <c r="N46" s="7">
        <f t="shared" si="4"/>
        <v>25108752.087330893</v>
      </c>
      <c r="O46" s="7">
        <f t="shared" si="5"/>
        <v>1350626625.7896123</v>
      </c>
      <c r="P46" s="7">
        <f t="shared" si="6"/>
        <v>349101049.34886616</v>
      </c>
      <c r="Q46">
        <v>5</v>
      </c>
      <c r="R46">
        <v>5</v>
      </c>
      <c r="S46">
        <f>GDP!K59</f>
        <v>17831.508783000001</v>
      </c>
      <c r="V46">
        <f t="shared" si="9"/>
        <v>-1.2642455323811794</v>
      </c>
      <c r="X46" s="13">
        <f t="shared" si="10"/>
        <v>25.637590448800555</v>
      </c>
      <c r="Y46" s="15">
        <v>16769.611938800001</v>
      </c>
      <c r="Z46" s="15">
        <v>826.94616000412259</v>
      </c>
    </row>
    <row r="47" spans="1:26" x14ac:dyDescent="0.25">
      <c r="A47" t="s">
        <v>72</v>
      </c>
      <c r="B47" s="7">
        <f>-CO2排放量!K60</f>
        <v>-754.615166564893</v>
      </c>
      <c r="C47" s="7">
        <f>就业人口!K60</f>
        <v>1326</v>
      </c>
      <c r="D47" s="7">
        <f>资本存量!K60</f>
        <v>80775.261808518379</v>
      </c>
      <c r="E47" s="7">
        <f>能源消耗量!L60</f>
        <v>19309.66</v>
      </c>
      <c r="F47" s="7">
        <f t="shared" si="7"/>
        <v>18882.715166564893</v>
      </c>
      <c r="G47" s="7">
        <f t="shared" si="11"/>
        <v>1758276</v>
      </c>
      <c r="H47" s="7">
        <f t="shared" si="11"/>
        <v>6524642920.2346878</v>
      </c>
      <c r="I47" s="7">
        <f t="shared" si="11"/>
        <v>372862969.31559998</v>
      </c>
      <c r="J47" s="7">
        <f t="shared" si="1"/>
        <v>107107997.15809537</v>
      </c>
      <c r="K47" s="7">
        <f t="shared" si="2"/>
        <v>25604609.16</v>
      </c>
      <c r="L47" s="7">
        <f t="shared" si="3"/>
        <v>1559742841.933475</v>
      </c>
      <c r="M47" s="7">
        <f t="shared" si="8"/>
        <v>356556932.06161982</v>
      </c>
      <c r="N47" s="7">
        <f t="shared" si="4"/>
        <v>25038480.310865048</v>
      </c>
      <c r="O47" s="7">
        <f t="shared" si="5"/>
        <v>1525256261.2349598</v>
      </c>
      <c r="P47" s="7">
        <f t="shared" si="6"/>
        <v>364618809.74321145</v>
      </c>
      <c r="Q47">
        <v>5</v>
      </c>
      <c r="R47">
        <v>6</v>
      </c>
      <c r="S47">
        <f>GDP!K60</f>
        <v>18128.099999999999</v>
      </c>
      <c r="V47">
        <f t="shared" si="9"/>
        <v>-1.2546637380022174</v>
      </c>
      <c r="X47" s="13">
        <f t="shared" si="10"/>
        <v>25.443281579391492</v>
      </c>
      <c r="Y47" s="15">
        <v>16769.611938800001</v>
      </c>
      <c r="Z47" s="15">
        <v>826.94616000412259</v>
      </c>
    </row>
    <row r="48" spans="1:26" x14ac:dyDescent="0.25">
      <c r="A48" t="s">
        <v>73</v>
      </c>
      <c r="B48" s="7">
        <f>-CO2排放量!K61</f>
        <v>-765.07294311333328</v>
      </c>
      <c r="C48" s="7">
        <f>就业人口!K61</f>
        <v>1317</v>
      </c>
      <c r="D48" s="7">
        <f>资本存量!K61</f>
        <v>87033.997474900607</v>
      </c>
      <c r="E48" s="7">
        <f>能源消耗量!L61</f>
        <v>19763.439999999999</v>
      </c>
      <c r="F48" s="7">
        <f t="shared" si="7"/>
        <v>16861.282943113332</v>
      </c>
      <c r="G48" s="7">
        <f t="shared" si="11"/>
        <v>1734489</v>
      </c>
      <c r="H48" s="7">
        <f t="shared" si="11"/>
        <v>7574916716.4610052</v>
      </c>
      <c r="I48" s="7">
        <f t="shared" si="11"/>
        <v>390593560.63359994</v>
      </c>
      <c r="J48" s="7">
        <f t="shared" si="1"/>
        <v>114623774.67444409</v>
      </c>
      <c r="K48" s="7">
        <f t="shared" si="2"/>
        <v>26028450.479999997</v>
      </c>
      <c r="L48" s="7">
        <f t="shared" si="3"/>
        <v>1720091187.0553496</v>
      </c>
      <c r="M48" s="7">
        <f t="shared" si="8"/>
        <v>284302862.4877246</v>
      </c>
      <c r="N48" s="7">
        <f t="shared" si="4"/>
        <v>22206309.636080258</v>
      </c>
      <c r="O48" s="7">
        <f t="shared" si="5"/>
        <v>1467504857.0945106</v>
      </c>
      <c r="P48" s="7">
        <f t="shared" si="6"/>
        <v>333236953.76924372</v>
      </c>
      <c r="Q48">
        <v>5</v>
      </c>
      <c r="R48">
        <v>7</v>
      </c>
      <c r="S48">
        <f>GDP!K61</f>
        <v>16096.21</v>
      </c>
      <c r="V48">
        <f t="shared" si="9"/>
        <v>-1.2426736034131405</v>
      </c>
      <c r="X48" s="13">
        <f t="shared" si="10"/>
        <v>25.200134064017817</v>
      </c>
      <c r="Y48" s="15">
        <v>16769.611938800001</v>
      </c>
      <c r="Z48" s="15">
        <v>826.94616000412259</v>
      </c>
    </row>
    <row r="49" spans="1:26" x14ac:dyDescent="0.25">
      <c r="A49" t="s">
        <v>74</v>
      </c>
      <c r="B49" s="7">
        <f>-CO2排放量!K62</f>
        <v>-857.57321491333323</v>
      </c>
      <c r="C49" s="7">
        <f>就业人口!K62</f>
        <v>1304</v>
      </c>
      <c r="D49" s="7">
        <f>资本存量!K62</f>
        <v>88866.301618910162</v>
      </c>
      <c r="E49" s="7">
        <f>能源消耗量!L62</f>
        <v>23068.47</v>
      </c>
      <c r="F49" s="7">
        <f t="shared" si="7"/>
        <v>16998.373214913332</v>
      </c>
      <c r="G49" s="7">
        <f t="shared" si="11"/>
        <v>1700416</v>
      </c>
      <c r="H49" s="7">
        <f t="shared" si="11"/>
        <v>7897219563.4231148</v>
      </c>
      <c r="I49" s="7">
        <f t="shared" si="11"/>
        <v>532154308.14090008</v>
      </c>
      <c r="J49" s="7">
        <f t="shared" si="1"/>
        <v>115881657.31105885</v>
      </c>
      <c r="K49" s="7">
        <f t="shared" si="2"/>
        <v>30081284.880000003</v>
      </c>
      <c r="L49" s="7">
        <f t="shared" si="3"/>
        <v>2050009612.9067807</v>
      </c>
      <c r="M49" s="7">
        <f t="shared" si="8"/>
        <v>288944691.95348299</v>
      </c>
      <c r="N49" s="7">
        <f t="shared" si="4"/>
        <v>22165878.672246985</v>
      </c>
      <c r="O49" s="7">
        <f t="shared" si="5"/>
        <v>1510582561.1472917</v>
      </c>
      <c r="P49" s="7">
        <f t="shared" si="6"/>
        <v>392126462.55703175</v>
      </c>
      <c r="Q49">
        <v>5</v>
      </c>
      <c r="R49">
        <v>8</v>
      </c>
      <c r="S49">
        <f>GDP!K62</f>
        <v>16140.8</v>
      </c>
      <c r="V49">
        <f t="shared" si="9"/>
        <v>-1.210707464578151</v>
      </c>
      <c r="X49" s="13">
        <f t="shared" si="10"/>
        <v>24.551893864871229</v>
      </c>
      <c r="Y49" s="15">
        <v>16769.611938800001</v>
      </c>
      <c r="Z49" s="15">
        <v>826.94616000412259</v>
      </c>
    </row>
    <row r="50" spans="1:26" x14ac:dyDescent="0.25">
      <c r="A50" t="s">
        <v>75</v>
      </c>
      <c r="B50" s="7">
        <f>-CO2排放量!K63</f>
        <v>-972.78727885999967</v>
      </c>
      <c r="C50" s="7">
        <f>就业人口!K63</f>
        <v>1272</v>
      </c>
      <c r="D50" s="7">
        <f>资本存量!K63</f>
        <v>91113.583503387592</v>
      </c>
      <c r="E50" s="7">
        <f>能源消耗量!L63</f>
        <v>25345.57</v>
      </c>
      <c r="F50" s="7">
        <f t="shared" si="7"/>
        <v>18185.317278859999</v>
      </c>
      <c r="G50" s="7">
        <f t="shared" si="11"/>
        <v>1617984</v>
      </c>
      <c r="H50" s="7">
        <f t="shared" si="11"/>
        <v>8301685098.828784</v>
      </c>
      <c r="I50" s="7">
        <f t="shared" si="11"/>
        <v>642397918.62489998</v>
      </c>
      <c r="J50" s="7">
        <f t="shared" si="1"/>
        <v>115896478.21630901</v>
      </c>
      <c r="K50" s="7">
        <f t="shared" si="2"/>
        <v>32239565.039999999</v>
      </c>
      <c r="L50" s="7">
        <f t="shared" si="3"/>
        <v>2309325708.6359553</v>
      </c>
      <c r="M50" s="7">
        <f t="shared" si="8"/>
        <v>330705764.53280401</v>
      </c>
      <c r="N50" s="7">
        <f t="shared" si="4"/>
        <v>23131723.578709919</v>
      </c>
      <c r="O50" s="7">
        <f t="shared" si="5"/>
        <v>1656929424.4230077</v>
      </c>
      <c r="P50" s="7">
        <f t="shared" si="6"/>
        <v>460917232.0635556</v>
      </c>
      <c r="Q50">
        <v>5</v>
      </c>
      <c r="R50">
        <v>9</v>
      </c>
      <c r="S50">
        <f>GDP!K63</f>
        <v>17212.53</v>
      </c>
      <c r="V50">
        <f t="shared" si="9"/>
        <v>-1.1944707682860396</v>
      </c>
      <c r="X50" s="13">
        <f t="shared" si="10"/>
        <v>24.222630474875558</v>
      </c>
      <c r="Y50" s="15">
        <v>16769.611938800001</v>
      </c>
      <c r="Z50" s="15">
        <v>826.94616000412259</v>
      </c>
    </row>
    <row r="51" spans="1:26" x14ac:dyDescent="0.25">
      <c r="A51" t="s">
        <v>76</v>
      </c>
      <c r="B51" s="7">
        <f>-CO2排放量!K64</f>
        <v>-1046.6621954466668</v>
      </c>
      <c r="C51" s="7">
        <f>就业人口!K64</f>
        <v>1242</v>
      </c>
      <c r="D51" s="7">
        <f>资本存量!K64</f>
        <v>92961.892730677006</v>
      </c>
      <c r="E51" s="7">
        <f>能源消耗量!L64</f>
        <v>27133.65</v>
      </c>
      <c r="F51" s="7">
        <f t="shared" si="7"/>
        <v>18406.482195446668</v>
      </c>
      <c r="G51" s="7">
        <f t="shared" si="11"/>
        <v>1542564</v>
      </c>
      <c r="H51" s="7">
        <f t="shared" si="11"/>
        <v>8641913500.0698986</v>
      </c>
      <c r="I51" s="7">
        <f t="shared" si="11"/>
        <v>736234962.32250011</v>
      </c>
      <c r="J51" s="7">
        <f t="shared" si="1"/>
        <v>115458670.77150084</v>
      </c>
      <c r="K51" s="7">
        <f t="shared" si="2"/>
        <v>33699993.300000004</v>
      </c>
      <c r="L51" s="7">
        <f t="shared" si="3"/>
        <v>2522395460.6917343</v>
      </c>
      <c r="M51" s="7">
        <f t="shared" si="8"/>
        <v>338798586.81129521</v>
      </c>
      <c r="N51" s="7">
        <f t="shared" si="4"/>
        <v>22860850.88674476</v>
      </c>
      <c r="O51" s="7">
        <f t="shared" si="5"/>
        <v>1711101423.4022293</v>
      </c>
      <c r="P51" s="7">
        <f t="shared" si="6"/>
        <v>499435045.62248152</v>
      </c>
      <c r="Q51">
        <v>5</v>
      </c>
      <c r="R51">
        <v>10</v>
      </c>
      <c r="S51">
        <f>GDP!K64</f>
        <v>17359.82</v>
      </c>
      <c r="V51">
        <f t="shared" si="9"/>
        <v>-1.1826408613367063</v>
      </c>
      <c r="X51" s="13">
        <f t="shared" si="10"/>
        <v>23.982732210142768</v>
      </c>
      <c r="Y51" s="15">
        <v>16769.611938800001</v>
      </c>
      <c r="Z51" s="15">
        <v>826.94616000412259</v>
      </c>
    </row>
    <row r="52" spans="1:26" x14ac:dyDescent="0.25">
      <c r="A52" t="s">
        <v>77</v>
      </c>
      <c r="B52" s="7">
        <f>-CO2排放量!K65</f>
        <v>-169.69415469999996</v>
      </c>
      <c r="C52" s="7">
        <f>就业人口!K65</f>
        <v>1379</v>
      </c>
      <c r="D52" s="7">
        <f>资本存量!K65</f>
        <v>12063.61724964922</v>
      </c>
      <c r="E52" s="7">
        <f>能源消耗量!L65</f>
        <v>6393.69</v>
      </c>
      <c r="F52" s="7">
        <f t="shared" si="7"/>
        <v>5190.0641546999996</v>
      </c>
      <c r="G52" s="7">
        <f t="shared" si="11"/>
        <v>1901641</v>
      </c>
      <c r="H52" s="7">
        <f t="shared" si="11"/>
        <v>145530861.14603421</v>
      </c>
      <c r="I52" s="7">
        <f t="shared" si="11"/>
        <v>40879271.816099994</v>
      </c>
      <c r="J52" s="7">
        <f t="shared" si="1"/>
        <v>16635728.187266273</v>
      </c>
      <c r="K52" s="7">
        <f t="shared" si="2"/>
        <v>8816898.5099999998</v>
      </c>
      <c r="L52" s="7">
        <f t="shared" si="3"/>
        <v>77131028.972909719</v>
      </c>
      <c r="M52" s="7">
        <f t="shared" si="8"/>
        <v>26936765.92990182</v>
      </c>
      <c r="N52" s="7">
        <f t="shared" si="4"/>
        <v>7157098.469331299</v>
      </c>
      <c r="O52" s="7">
        <f t="shared" si="5"/>
        <v>62610947.46342501</v>
      </c>
      <c r="P52" s="7">
        <f t="shared" si="6"/>
        <v>33183661.285263836</v>
      </c>
      <c r="Q52">
        <v>6</v>
      </c>
      <c r="R52">
        <v>1</v>
      </c>
      <c r="S52">
        <f>GDP!K65</f>
        <v>5020.37</v>
      </c>
      <c r="V52">
        <f t="shared" si="9"/>
        <v>-1.6926630730718015</v>
      </c>
      <c r="X52" s="13">
        <f t="shared" si="10"/>
        <v>67.275508170968493</v>
      </c>
      <c r="Y52" s="15">
        <v>7112.7743489000004</v>
      </c>
      <c r="Z52" s="15">
        <v>178.95859600018295</v>
      </c>
    </row>
    <row r="53" spans="1:26" x14ac:dyDescent="0.25">
      <c r="A53" t="s">
        <v>78</v>
      </c>
      <c r="B53" s="7">
        <f>-CO2排放量!K66</f>
        <v>-173.75377908666667</v>
      </c>
      <c r="C53" s="7">
        <f>就业人口!K66</f>
        <v>1358</v>
      </c>
      <c r="D53" s="7">
        <f>资本存量!K66</f>
        <v>15085.749993682895</v>
      </c>
      <c r="E53" s="7">
        <f>能源消耗量!L66</f>
        <v>6893.76</v>
      </c>
      <c r="F53" s="7">
        <f t="shared" si="7"/>
        <v>5823.9577380866667</v>
      </c>
      <c r="G53" s="7">
        <f t="shared" si="11"/>
        <v>1844164</v>
      </c>
      <c r="H53" s="7">
        <f t="shared" si="11"/>
        <v>227579852.87190348</v>
      </c>
      <c r="I53" s="7">
        <f t="shared" si="11"/>
        <v>47523926.937600002</v>
      </c>
      <c r="J53" s="7">
        <f t="shared" si="1"/>
        <v>20486448.491421372</v>
      </c>
      <c r="K53" s="7">
        <f t="shared" si="2"/>
        <v>9361726.0800000001</v>
      </c>
      <c r="L53" s="7">
        <f t="shared" si="3"/>
        <v>103997539.8764514</v>
      </c>
      <c r="M53" s="7">
        <f t="shared" si="8"/>
        <v>33918483.735019565</v>
      </c>
      <c r="N53" s="7">
        <f t="shared" si="4"/>
        <v>7908934.6083216937</v>
      </c>
      <c r="O53" s="7">
        <f t="shared" si="5"/>
        <v>87858770.410550386</v>
      </c>
      <c r="P53" s="7">
        <f t="shared" si="6"/>
        <v>40148966.896512344</v>
      </c>
      <c r="Q53">
        <v>6</v>
      </c>
      <c r="R53">
        <v>2</v>
      </c>
      <c r="S53">
        <f>GDP!K66</f>
        <v>5650.2039590000004</v>
      </c>
      <c r="V53">
        <f t="shared" si="9"/>
        <v>-1.6520782089420942</v>
      </c>
      <c r="X53" s="13">
        <f t="shared" si="10"/>
        <v>65.662448016344356</v>
      </c>
      <c r="Y53" s="15">
        <v>7112.7743489000004</v>
      </c>
      <c r="Z53" s="15">
        <v>178.95859600018295</v>
      </c>
    </row>
    <row r="54" spans="1:26" x14ac:dyDescent="0.25">
      <c r="A54" t="s">
        <v>79</v>
      </c>
      <c r="B54" s="7">
        <f>-CO2排放量!K67</f>
        <v>-181.46648981333334</v>
      </c>
      <c r="C54" s="7">
        <f>就业人口!K67</f>
        <v>1352</v>
      </c>
      <c r="D54" s="7">
        <f>资本存量!K67</f>
        <v>18678.047994289336</v>
      </c>
      <c r="E54" s="7">
        <f>能源消耗量!L67</f>
        <v>7286.72</v>
      </c>
      <c r="F54" s="7">
        <f t="shared" si="7"/>
        <v>6512.1588048133335</v>
      </c>
      <c r="G54" s="7">
        <f t="shared" si="11"/>
        <v>1827904</v>
      </c>
      <c r="H54" s="7">
        <f t="shared" si="11"/>
        <v>348869476.87697589</v>
      </c>
      <c r="I54" s="7">
        <f t="shared" si="11"/>
        <v>53096288.358400002</v>
      </c>
      <c r="J54" s="7">
        <f t="shared" si="1"/>
        <v>25252720.888279181</v>
      </c>
      <c r="K54" s="7">
        <f t="shared" si="2"/>
        <v>9851645.4399999995</v>
      </c>
      <c r="L54" s="7">
        <f t="shared" si="3"/>
        <v>136101705.88094801</v>
      </c>
      <c r="M54" s="7">
        <f t="shared" si="8"/>
        <v>42408212.299107827</v>
      </c>
      <c r="N54" s="7">
        <f t="shared" si="4"/>
        <v>8804438.7041076273</v>
      </c>
      <c r="O54" s="7">
        <f t="shared" si="5"/>
        <v>121634414.70273733</v>
      </c>
      <c r="P54" s="7">
        <f t="shared" si="6"/>
        <v>47452277.806209415</v>
      </c>
      <c r="Q54">
        <v>6</v>
      </c>
      <c r="R54">
        <v>3</v>
      </c>
      <c r="S54">
        <f>GDP!K67</f>
        <v>6330.6923150000002</v>
      </c>
      <c r="V54">
        <f t="shared" si="9"/>
        <v>-1.6209787056067817</v>
      </c>
      <c r="X54" s="13">
        <f t="shared" si="10"/>
        <v>64.426386969091197</v>
      </c>
      <c r="Y54" s="15">
        <v>7112.7743489000004</v>
      </c>
      <c r="Z54" s="15">
        <v>178.95859600018295</v>
      </c>
    </row>
    <row r="55" spans="1:26" x14ac:dyDescent="0.25">
      <c r="A55" t="s">
        <v>80</v>
      </c>
      <c r="B55" s="7">
        <f>-CO2排放量!K68</f>
        <v>-180.46855229333335</v>
      </c>
      <c r="C55" s="7">
        <f>就业人口!K68</f>
        <v>1348</v>
      </c>
      <c r="D55" s="7">
        <f>资本存量!K68</f>
        <v>23292.155386837559</v>
      </c>
      <c r="E55" s="7">
        <f>能源消耗量!L68</f>
        <v>7521.45</v>
      </c>
      <c r="F55" s="7">
        <f t="shared" si="7"/>
        <v>7017.2893402933332</v>
      </c>
      <c r="G55" s="7">
        <f t="shared" si="11"/>
        <v>1817104</v>
      </c>
      <c r="H55" s="7">
        <f t="shared" si="11"/>
        <v>542524502.56458592</v>
      </c>
      <c r="I55" s="7">
        <f t="shared" si="11"/>
        <v>56572210.102499999</v>
      </c>
      <c r="J55" s="7">
        <f t="shared" si="1"/>
        <v>31397825.461457029</v>
      </c>
      <c r="K55" s="7">
        <f t="shared" si="2"/>
        <v>10138914.6</v>
      </c>
      <c r="L55" s="7">
        <f t="shared" si="3"/>
        <v>175190782.13432935</v>
      </c>
      <c r="M55" s="7">
        <f t="shared" si="8"/>
        <v>49242349.685394444</v>
      </c>
      <c r="N55" s="7">
        <f t="shared" si="4"/>
        <v>9459306.0307154134</v>
      </c>
      <c r="O55" s="7">
        <f t="shared" si="5"/>
        <v>163447793.70851114</v>
      </c>
      <c r="P55" s="7">
        <f t="shared" si="6"/>
        <v>52780190.908549286</v>
      </c>
      <c r="Q55">
        <v>6</v>
      </c>
      <c r="R55">
        <v>4</v>
      </c>
      <c r="S55">
        <f>GDP!K68</f>
        <v>6836.820788</v>
      </c>
      <c r="V55">
        <f t="shared" si="9"/>
        <v>-1.5982232715550246</v>
      </c>
      <c r="X55" s="13">
        <f t="shared" si="10"/>
        <v>63.521963983892661</v>
      </c>
      <c r="Y55" s="15">
        <v>7112.7743489000004</v>
      </c>
      <c r="Z55" s="15">
        <v>178.95859600018295</v>
      </c>
    </row>
    <row r="56" spans="1:26" x14ac:dyDescent="0.25">
      <c r="A56" t="s">
        <v>81</v>
      </c>
      <c r="B56" s="7">
        <f>-CO2排放量!K69</f>
        <v>-176.57530076666666</v>
      </c>
      <c r="C56" s="7">
        <f>就业人口!K69</f>
        <v>1346</v>
      </c>
      <c r="D56" s="7">
        <f>资本存量!K69</f>
        <v>28815.728469701153</v>
      </c>
      <c r="E56" s="7">
        <f>能源消耗量!L69</f>
        <v>7488.5</v>
      </c>
      <c r="F56" s="7">
        <f t="shared" si="7"/>
        <v>6966.8921987666663</v>
      </c>
      <c r="G56" s="7">
        <f t="shared" si="11"/>
        <v>1811716</v>
      </c>
      <c r="H56" s="7">
        <f t="shared" si="11"/>
        <v>830346207.23954558</v>
      </c>
      <c r="I56" s="7">
        <f t="shared" si="11"/>
        <v>56077632.25</v>
      </c>
      <c r="J56" s="7">
        <f t="shared" si="1"/>
        <v>38785970.520217754</v>
      </c>
      <c r="K56" s="7">
        <f t="shared" si="2"/>
        <v>10079521</v>
      </c>
      <c r="L56" s="7">
        <f t="shared" si="3"/>
        <v>215786582.64535707</v>
      </c>
      <c r="M56" s="7">
        <f t="shared" si="8"/>
        <v>48537586.909235835</v>
      </c>
      <c r="N56" s="7">
        <f t="shared" si="4"/>
        <v>9377436.8995399326</v>
      </c>
      <c r="O56" s="7">
        <f t="shared" si="5"/>
        <v>200756073.87733948</v>
      </c>
      <c r="P56" s="7">
        <f t="shared" si="6"/>
        <v>52171572.230464183</v>
      </c>
      <c r="Q56">
        <v>6</v>
      </c>
      <c r="R56">
        <v>5</v>
      </c>
      <c r="S56">
        <f>GDP!K69</f>
        <v>6790.316898</v>
      </c>
      <c r="V56">
        <f t="shared" si="9"/>
        <v>-1.5855215521808959</v>
      </c>
      <c r="X56" s="13">
        <f t="shared" si="10"/>
        <v>63.017129537431444</v>
      </c>
      <c r="Y56" s="15">
        <v>7112.7743489000004</v>
      </c>
      <c r="Z56" s="15">
        <v>178.95859600018295</v>
      </c>
    </row>
    <row r="57" spans="1:26" x14ac:dyDescent="0.25">
      <c r="A57" t="s">
        <v>82</v>
      </c>
      <c r="B57" s="7">
        <f>-CO2排放量!K70</f>
        <v>-169.71652950000004</v>
      </c>
      <c r="C57" s="7">
        <f>就业人口!K70</f>
        <v>1341</v>
      </c>
      <c r="D57" s="7">
        <f>资本存量!K70</f>
        <v>34676.018536609845</v>
      </c>
      <c r="E57" s="7">
        <f>能源消耗量!L70</f>
        <v>7299.93</v>
      </c>
      <c r="F57" s="7">
        <f t="shared" si="7"/>
        <v>7370.0865295000003</v>
      </c>
      <c r="G57" s="7">
        <f t="shared" si="11"/>
        <v>1798281</v>
      </c>
      <c r="H57" s="7">
        <f t="shared" si="11"/>
        <v>1202426261.5513096</v>
      </c>
      <c r="I57" s="7">
        <f t="shared" si="11"/>
        <v>53288978.004900001</v>
      </c>
      <c r="J57" s="7">
        <f t="shared" si="1"/>
        <v>46500540.857593805</v>
      </c>
      <c r="K57" s="7">
        <f t="shared" si="2"/>
        <v>9789206.1300000008</v>
      </c>
      <c r="L57" s="7">
        <f t="shared" si="3"/>
        <v>253132507.9959543</v>
      </c>
      <c r="M57" s="7">
        <f t="shared" si="8"/>
        <v>54318175.452317357</v>
      </c>
      <c r="N57" s="7">
        <f t="shared" si="4"/>
        <v>9883286.0360595006</v>
      </c>
      <c r="O57" s="7">
        <f t="shared" si="5"/>
        <v>255565257.11336052</v>
      </c>
      <c r="P57" s="7">
        <f t="shared" si="6"/>
        <v>53801115.759292938</v>
      </c>
      <c r="Q57">
        <v>6</v>
      </c>
      <c r="R57">
        <v>6</v>
      </c>
      <c r="S57">
        <f>GDP!K70</f>
        <v>7200.37</v>
      </c>
      <c r="V57">
        <f t="shared" si="9"/>
        <v>-1.5875182988538445</v>
      </c>
      <c r="X57" s="13">
        <f t="shared" si="10"/>
        <v>63.09649095864301</v>
      </c>
      <c r="Y57" s="15">
        <v>7112.7743489000004</v>
      </c>
      <c r="Z57" s="15">
        <v>178.95859600018295</v>
      </c>
    </row>
    <row r="58" spans="1:26" x14ac:dyDescent="0.25">
      <c r="A58" t="s">
        <v>83</v>
      </c>
      <c r="B58" s="7">
        <f>-CO2排放量!K71</f>
        <v>-173.98676512849633</v>
      </c>
      <c r="C58" s="7">
        <f>就业人口!K71</f>
        <v>1337</v>
      </c>
      <c r="D58" s="7">
        <f>资本存量!K71</f>
        <v>40881.220757095303</v>
      </c>
      <c r="E58" s="7">
        <f>能源消耗量!L71</f>
        <v>7503.63</v>
      </c>
      <c r="F58" s="7">
        <f t="shared" si="7"/>
        <v>7633.886294128497</v>
      </c>
      <c r="G58" s="7">
        <f t="shared" si="11"/>
        <v>1787569</v>
      </c>
      <c r="H58" s="7">
        <f t="shared" si="11"/>
        <v>1671274210.5903599</v>
      </c>
      <c r="I58" s="7">
        <f t="shared" si="11"/>
        <v>56304463.176899999</v>
      </c>
      <c r="J58" s="7">
        <f t="shared" si="1"/>
        <v>54658192.152236417</v>
      </c>
      <c r="K58" s="7">
        <f t="shared" si="2"/>
        <v>10032353.310000001</v>
      </c>
      <c r="L58" s="7">
        <f t="shared" si="3"/>
        <v>306757554.50956303</v>
      </c>
      <c r="M58" s="7">
        <f t="shared" si="8"/>
        <v>58276219.951682918</v>
      </c>
      <c r="N58" s="7">
        <f t="shared" si="4"/>
        <v>10206505.975249801</v>
      </c>
      <c r="O58" s="7">
        <f t="shared" si="5"/>
        <v>312082590.82483125</v>
      </c>
      <c r="P58" s="7">
        <f t="shared" si="6"/>
        <v>57281858.213211417</v>
      </c>
      <c r="Q58">
        <v>6</v>
      </c>
      <c r="R58">
        <v>7</v>
      </c>
      <c r="S58">
        <f>GDP!K71</f>
        <v>7459.8995290000003</v>
      </c>
      <c r="V58">
        <f t="shared" si="9"/>
        <v>-1.5626930609248588</v>
      </c>
      <c r="X58" s="13">
        <f t="shared" si="10"/>
        <v>62.109802867133574</v>
      </c>
      <c r="Y58" s="15">
        <v>7112.7743489000004</v>
      </c>
      <c r="Z58" s="15">
        <v>178.95859600018295</v>
      </c>
    </row>
    <row r="59" spans="1:26" x14ac:dyDescent="0.25">
      <c r="A59" t="s">
        <v>84</v>
      </c>
      <c r="B59" s="7">
        <f>-CO2排放量!K72</f>
        <v>-182.49648573333334</v>
      </c>
      <c r="C59" s="7">
        <f>就业人口!K72</f>
        <v>1337</v>
      </c>
      <c r="D59" s="7">
        <f>资本存量!K72</f>
        <v>46118.893664414158</v>
      </c>
      <c r="E59" s="7">
        <f>能源消耗量!L72</f>
        <v>7822.54</v>
      </c>
      <c r="F59" s="7">
        <f t="shared" si="7"/>
        <v>8286.5664857333322</v>
      </c>
      <c r="G59" s="7">
        <f t="shared" si="11"/>
        <v>1787569</v>
      </c>
      <c r="H59" s="7">
        <f t="shared" si="11"/>
        <v>2126952352.8295403</v>
      </c>
      <c r="I59" s="7">
        <f t="shared" si="11"/>
        <v>61192132.051600002</v>
      </c>
      <c r="J59" s="7">
        <f t="shared" si="1"/>
        <v>61660960.829321727</v>
      </c>
      <c r="K59" s="7">
        <f t="shared" si="2"/>
        <v>10458735.98</v>
      </c>
      <c r="L59" s="7">
        <f t="shared" si="3"/>
        <v>360766890.44562632</v>
      </c>
      <c r="M59" s="7">
        <f t="shared" si="8"/>
        <v>68667184.122478873</v>
      </c>
      <c r="N59" s="7">
        <f t="shared" si="4"/>
        <v>11079139.391425464</v>
      </c>
      <c r="O59" s="7">
        <f t="shared" si="5"/>
        <v>382167278.59863365</v>
      </c>
      <c r="P59" s="7">
        <f t="shared" si="6"/>
        <v>64821997.797308423</v>
      </c>
      <c r="Q59">
        <v>6</v>
      </c>
      <c r="R59">
        <v>8</v>
      </c>
      <c r="S59">
        <f>GDP!K72</f>
        <v>8104.07</v>
      </c>
      <c r="V59">
        <f t="shared" si="9"/>
        <v>-1.5389788929168904</v>
      </c>
      <c r="X59" s="13">
        <f t="shared" si="10"/>
        <v>61.167274652884444</v>
      </c>
      <c r="Y59" s="15">
        <v>7112.7743489000004</v>
      </c>
      <c r="Z59" s="15">
        <v>178.95859600018295</v>
      </c>
    </row>
    <row r="60" spans="1:26" x14ac:dyDescent="0.25">
      <c r="A60" t="s">
        <v>85</v>
      </c>
      <c r="B60" s="7">
        <f>-CO2排放量!K73</f>
        <v>-185.44137674666666</v>
      </c>
      <c r="C60" s="7">
        <f>就业人口!K73</f>
        <v>1333</v>
      </c>
      <c r="D60" s="7">
        <f>资本存量!K73</f>
        <v>51454.794891190395</v>
      </c>
      <c r="E60" s="7">
        <f>能源消耗量!L73</f>
        <v>7818.02</v>
      </c>
      <c r="F60" s="7">
        <f t="shared" si="7"/>
        <v>8903.741376746666</v>
      </c>
      <c r="G60" s="7">
        <f t="shared" si="11"/>
        <v>1776889</v>
      </c>
      <c r="H60" s="7">
        <f t="shared" si="11"/>
        <v>2647595917.2944732</v>
      </c>
      <c r="I60" s="7">
        <f t="shared" si="11"/>
        <v>61121436.720400006</v>
      </c>
      <c r="J60" s="7">
        <f t="shared" si="1"/>
        <v>68589241.58995679</v>
      </c>
      <c r="K60" s="7">
        <f t="shared" si="2"/>
        <v>10421420.66</v>
      </c>
      <c r="L60" s="7">
        <f t="shared" si="3"/>
        <v>402274615.55522436</v>
      </c>
      <c r="M60" s="7">
        <f t="shared" si="8"/>
        <v>79276610.50399062</v>
      </c>
      <c r="N60" s="7">
        <f t="shared" si="4"/>
        <v>11868687.255203307</v>
      </c>
      <c r="O60" s="7">
        <f t="shared" si="5"/>
        <v>458140186.3047049</v>
      </c>
      <c r="P60" s="7">
        <f t="shared" si="6"/>
        <v>69609628.158232972</v>
      </c>
      <c r="Q60">
        <v>6</v>
      </c>
      <c r="R60">
        <v>9</v>
      </c>
      <c r="S60">
        <f>GDP!K73</f>
        <v>8718.2999999999993</v>
      </c>
      <c r="V60">
        <f t="shared" si="9"/>
        <v>-1.5337363006456328</v>
      </c>
      <c r="X60" s="13">
        <f t="shared" si="10"/>
        <v>60.958905920327425</v>
      </c>
      <c r="Y60" s="15">
        <v>7112.7743489000004</v>
      </c>
      <c r="Z60" s="15">
        <v>178.95859600018295</v>
      </c>
    </row>
    <row r="61" spans="1:26" x14ac:dyDescent="0.25">
      <c r="A61" t="s">
        <v>86</v>
      </c>
      <c r="B61" s="7">
        <f>-CO2排放量!K74</f>
        <v>-195.98652623333334</v>
      </c>
      <c r="C61" s="7">
        <f>就业人口!K74</f>
        <v>1331</v>
      </c>
      <c r="D61" s="7">
        <f>资本存量!K74</f>
        <v>57044.869829153082</v>
      </c>
      <c r="E61" s="7">
        <f>能源消耗量!L74</f>
        <v>8104.71</v>
      </c>
      <c r="F61" s="7">
        <f t="shared" si="7"/>
        <v>9212.686526233334</v>
      </c>
      <c r="G61" s="7">
        <f t="shared" si="11"/>
        <v>1771561</v>
      </c>
      <c r="H61" s="7">
        <f t="shared" si="11"/>
        <v>3254117173.8250194</v>
      </c>
      <c r="I61" s="7">
        <f t="shared" si="11"/>
        <v>65686324.184100002</v>
      </c>
      <c r="J61" s="7">
        <f t="shared" si="1"/>
        <v>75926721.742602751</v>
      </c>
      <c r="K61" s="7">
        <f t="shared" si="2"/>
        <v>10787369.01</v>
      </c>
      <c r="L61" s="7">
        <f t="shared" si="3"/>
        <v>462332126.9530353</v>
      </c>
      <c r="M61" s="7">
        <f t="shared" si="8"/>
        <v>84873593.030641213</v>
      </c>
      <c r="N61" s="7">
        <f t="shared" si="4"/>
        <v>12262085.766416568</v>
      </c>
      <c r="O61" s="7">
        <f t="shared" si="5"/>
        <v>525536503.66577303</v>
      </c>
      <c r="P61" s="7">
        <f t="shared" si="6"/>
        <v>74666152.616028562</v>
      </c>
      <c r="Q61">
        <v>6</v>
      </c>
      <c r="R61">
        <v>10</v>
      </c>
      <c r="S61">
        <f>GDP!K74</f>
        <v>9016.7000000000007</v>
      </c>
      <c r="V61">
        <f t="shared" si="9"/>
        <v>-1.5105220952541929</v>
      </c>
      <c r="X61" s="13">
        <f t="shared" si="10"/>
        <v>60.036248901727653</v>
      </c>
      <c r="Y61" s="15">
        <v>7112.7743489000004</v>
      </c>
      <c r="Z61" s="15">
        <v>178.95859600018295</v>
      </c>
    </row>
    <row r="62" spans="1:26" x14ac:dyDescent="0.25">
      <c r="A62" t="s">
        <v>87</v>
      </c>
      <c r="B62" s="7">
        <f>-CO2排放量!K75</f>
        <v>-190.94822575333333</v>
      </c>
      <c r="C62" s="7">
        <f>就业人口!K75</f>
        <v>478.5</v>
      </c>
      <c r="D62" s="7">
        <f>资本存量!K75</f>
        <v>5189.694294986165</v>
      </c>
      <c r="E62" s="7">
        <f>能源消耗量!L75</f>
        <v>4719.8999999999996</v>
      </c>
      <c r="F62" s="7">
        <f t="shared" si="7"/>
        <v>2293.1582257533332</v>
      </c>
      <c r="G62" s="7">
        <f t="shared" si="11"/>
        <v>228962.25</v>
      </c>
      <c r="H62" s="7">
        <f t="shared" si="11"/>
        <v>26932926.87541195</v>
      </c>
      <c r="I62" s="7">
        <f t="shared" si="11"/>
        <v>22277456.009999998</v>
      </c>
      <c r="J62" s="7">
        <f t="shared" si="1"/>
        <v>2483268.72015088</v>
      </c>
      <c r="K62" s="7">
        <f t="shared" si="2"/>
        <v>2258472.15</v>
      </c>
      <c r="L62" s="7">
        <f t="shared" si="3"/>
        <v>24494838.102905199</v>
      </c>
      <c r="M62" s="7">
        <f t="shared" si="8"/>
        <v>5258574.6483401749</v>
      </c>
      <c r="N62" s="7">
        <f t="shared" si="4"/>
        <v>1097276.21102297</v>
      </c>
      <c r="O62" s="7">
        <f t="shared" si="5"/>
        <v>11900790.16169267</v>
      </c>
      <c r="P62" s="7">
        <f t="shared" si="6"/>
        <v>10823477.509733157</v>
      </c>
      <c r="Q62">
        <v>7</v>
      </c>
      <c r="R62">
        <v>1</v>
      </c>
      <c r="S62">
        <f>GDP!K75</f>
        <v>2102.21</v>
      </c>
      <c r="V62">
        <f t="shared" si="9"/>
        <v>-2.1094905842471268</v>
      </c>
      <c r="X62" s="13">
        <f t="shared" si="10"/>
        <v>30.337130248026845</v>
      </c>
      <c r="Y62" s="15">
        <v>3047.6329999999998</v>
      </c>
      <c r="Z62" s="15">
        <v>211.91698308903057</v>
      </c>
    </row>
    <row r="63" spans="1:26" x14ac:dyDescent="0.25">
      <c r="A63" t="s">
        <v>88</v>
      </c>
      <c r="B63" s="7">
        <f>-CO2排放量!K76</f>
        <v>-188.56961744127909</v>
      </c>
      <c r="C63" s="7">
        <f>就业人口!K76</f>
        <v>487.9</v>
      </c>
      <c r="D63" s="7">
        <f>资本存量!K76</f>
        <v>6801.0018426674924</v>
      </c>
      <c r="E63" s="7">
        <f>能源消耗量!L76</f>
        <v>4895.2</v>
      </c>
      <c r="F63" s="7">
        <f t="shared" si="7"/>
        <v>2529.8596174412792</v>
      </c>
      <c r="G63" s="7">
        <f t="shared" si="11"/>
        <v>238046.40999999997</v>
      </c>
      <c r="H63" s="7">
        <f t="shared" si="11"/>
        <v>46253626.063966624</v>
      </c>
      <c r="I63" s="7">
        <f t="shared" si="11"/>
        <v>23962983.039999999</v>
      </c>
      <c r="J63" s="7">
        <f t="shared" si="1"/>
        <v>3318208.7990374696</v>
      </c>
      <c r="K63" s="7">
        <f t="shared" si="2"/>
        <v>2388368.0799999996</v>
      </c>
      <c r="L63" s="7">
        <f t="shared" si="3"/>
        <v>33292264.220225908</v>
      </c>
      <c r="M63" s="7">
        <f t="shared" si="8"/>
        <v>6400189.6839601351</v>
      </c>
      <c r="N63" s="7">
        <f t="shared" si="4"/>
        <v>1234318.5073496001</v>
      </c>
      <c r="O63" s="7">
        <f t="shared" si="5"/>
        <v>17205579.919908218</v>
      </c>
      <c r="P63" s="7">
        <f t="shared" si="6"/>
        <v>12384168.799298549</v>
      </c>
      <c r="Q63">
        <v>7</v>
      </c>
      <c r="R63">
        <v>2</v>
      </c>
      <c r="S63">
        <f>GDP!K76</f>
        <v>2341.29</v>
      </c>
      <c r="V63">
        <f t="shared" si="9"/>
        <v>-2.0621247876204696</v>
      </c>
      <c r="X63" s="13">
        <f t="shared" si="10"/>
        <v>29.65595046353528</v>
      </c>
      <c r="Y63" s="15">
        <v>3047.6329999999998</v>
      </c>
      <c r="Z63" s="15">
        <v>211.91698308903057</v>
      </c>
    </row>
    <row r="64" spans="1:26" x14ac:dyDescent="0.25">
      <c r="A64" t="s">
        <v>89</v>
      </c>
      <c r="B64" s="7">
        <f>-CO2排放量!K77</f>
        <v>-187.75607406666663</v>
      </c>
      <c r="C64" s="7">
        <f>就业人口!K77</f>
        <v>494</v>
      </c>
      <c r="D64" s="7">
        <f>资本存量!K77</f>
        <v>8829.2485657714133</v>
      </c>
      <c r="E64" s="7">
        <f>能源消耗量!L77</f>
        <v>5186.8</v>
      </c>
      <c r="F64" s="7">
        <f t="shared" si="7"/>
        <v>2765.3260740666669</v>
      </c>
      <c r="G64" s="7">
        <f t="shared" si="11"/>
        <v>244036</v>
      </c>
      <c r="H64" s="7">
        <f t="shared" si="11"/>
        <v>77955630.236176565</v>
      </c>
      <c r="I64" s="7">
        <f t="shared" si="11"/>
        <v>26902894.240000002</v>
      </c>
      <c r="J64" s="7">
        <f t="shared" si="1"/>
        <v>4361648.7914910782</v>
      </c>
      <c r="K64" s="7">
        <f t="shared" si="2"/>
        <v>2562279.2000000002</v>
      </c>
      <c r="L64" s="7">
        <f t="shared" si="3"/>
        <v>45795546.46094317</v>
      </c>
      <c r="M64" s="7">
        <f t="shared" si="8"/>
        <v>7647028.2959129652</v>
      </c>
      <c r="N64" s="7">
        <f t="shared" si="4"/>
        <v>1366071.0805889335</v>
      </c>
      <c r="O64" s="7">
        <f t="shared" si="5"/>
        <v>24415751.27334341</v>
      </c>
      <c r="P64" s="7">
        <f t="shared" si="6"/>
        <v>14343193.280968988</v>
      </c>
      <c r="Q64">
        <v>7</v>
      </c>
      <c r="R64">
        <v>3</v>
      </c>
      <c r="S64">
        <f>GDP!K77</f>
        <v>2577.5700000000002</v>
      </c>
      <c r="V64">
        <f t="shared" si="9"/>
        <v>-1.9943443385668993</v>
      </c>
      <c r="X64" s="13">
        <f t="shared" si="10"/>
        <v>28.68118227705305</v>
      </c>
      <c r="Y64" s="15">
        <v>3047.6329999999998</v>
      </c>
      <c r="Z64" s="15">
        <v>211.91698308903057</v>
      </c>
    </row>
    <row r="65" spans="1:26" x14ac:dyDescent="0.25">
      <c r="A65" t="s">
        <v>90</v>
      </c>
      <c r="B65" s="7">
        <f>-CO2排放量!K78</f>
        <v>-195.21582880721337</v>
      </c>
      <c r="C65" s="7">
        <f>就业人口!K78</f>
        <v>499.15</v>
      </c>
      <c r="D65" s="7">
        <f>资本存量!K78</f>
        <v>11182.625603457358</v>
      </c>
      <c r="E65" s="7">
        <f>能源消耗量!L78</f>
        <v>5336.2</v>
      </c>
      <c r="F65" s="7">
        <f t="shared" si="7"/>
        <v>2947.3158288072132</v>
      </c>
      <c r="G65" s="7">
        <f t="shared" si="11"/>
        <v>249150.72249999997</v>
      </c>
      <c r="H65" s="7">
        <f t="shared" si="11"/>
        <v>125051115.38710004</v>
      </c>
      <c r="I65" s="7">
        <f t="shared" si="11"/>
        <v>28475030.439999998</v>
      </c>
      <c r="J65" s="7">
        <f t="shared" si="1"/>
        <v>5581807.5699657397</v>
      </c>
      <c r="K65" s="7">
        <f t="shared" si="2"/>
        <v>2663564.23</v>
      </c>
      <c r="L65" s="7">
        <f t="shared" si="3"/>
        <v>59672726.745169155</v>
      </c>
      <c r="M65" s="7">
        <f t="shared" si="8"/>
        <v>8686670.5947375502</v>
      </c>
      <c r="N65" s="7">
        <f t="shared" si="4"/>
        <v>1471152.6959491204</v>
      </c>
      <c r="O65" s="7">
        <f t="shared" si="5"/>
        <v>32958729.448694684</v>
      </c>
      <c r="P65" s="7">
        <f t="shared" si="6"/>
        <v>15727466.72568105</v>
      </c>
      <c r="Q65">
        <v>7</v>
      </c>
      <c r="R65">
        <v>4</v>
      </c>
      <c r="S65">
        <f>GDP!K78</f>
        <v>2752.1</v>
      </c>
      <c r="V65">
        <f t="shared" si="9"/>
        <v>-1.9550465231512797</v>
      </c>
      <c r="X65" s="13">
        <f t="shared" si="10"/>
        <v>28.116030219191622</v>
      </c>
      <c r="Y65" s="15">
        <v>3047.6329999999998</v>
      </c>
      <c r="Z65" s="15">
        <v>211.91698308903057</v>
      </c>
    </row>
    <row r="66" spans="1:26" x14ac:dyDescent="0.25">
      <c r="A66" t="s">
        <v>91</v>
      </c>
      <c r="B66" s="7">
        <f>-CO2排放量!K79</f>
        <v>-193.37849047333333</v>
      </c>
      <c r="C66" s="7">
        <f>就业人口!K79</f>
        <v>503.1</v>
      </c>
      <c r="D66" s="7">
        <f>资本存量!K79</f>
        <v>13642.020345525452</v>
      </c>
      <c r="E66" s="7">
        <f>能源消耗量!L79</f>
        <v>5711.9</v>
      </c>
      <c r="F66" s="7">
        <f t="shared" ref="F66:F81" si="12">S66-B66</f>
        <v>3105.1484904733334</v>
      </c>
      <c r="G66" s="7">
        <f t="shared" ref="G66:I81" si="13">C66*C66</f>
        <v>253109.61000000002</v>
      </c>
      <c r="H66" s="7">
        <f t="shared" si="13"/>
        <v>186104719.10773039</v>
      </c>
      <c r="I66" s="7">
        <f t="shared" si="13"/>
        <v>32625801.609999996</v>
      </c>
      <c r="J66" s="7">
        <f t="shared" ref="J66:J81" si="14">C66*D66</f>
        <v>6863300.4358338555</v>
      </c>
      <c r="K66" s="7">
        <f t="shared" ref="K66:K81" si="15">C66*E66</f>
        <v>2873656.89</v>
      </c>
      <c r="L66" s="7">
        <f t="shared" ref="L66:L81" si="16">D66*E66</f>
        <v>77921856.011606827</v>
      </c>
      <c r="M66" s="7">
        <f t="shared" si="8"/>
        <v>9641947.1478888206</v>
      </c>
      <c r="N66" s="7">
        <f t="shared" ref="N66:N81" si="17">C66*F66</f>
        <v>1562200.205557134</v>
      </c>
      <c r="O66" s="7">
        <f t="shared" ref="O66:O81" si="18">D66*F66</f>
        <v>42360498.882914864</v>
      </c>
      <c r="P66" s="7">
        <f t="shared" ref="P66:P81" si="19">E66*F66</f>
        <v>17736297.662734631</v>
      </c>
      <c r="Q66">
        <v>7</v>
      </c>
      <c r="R66">
        <v>5</v>
      </c>
      <c r="S66">
        <f>GDP!K79</f>
        <v>2911.77</v>
      </c>
      <c r="V66">
        <f t="shared" si="9"/>
        <v>-1.8833212164112998</v>
      </c>
      <c r="X66" s="13">
        <f t="shared" si="10"/>
        <v>27.084530012980917</v>
      </c>
      <c r="Y66" s="15">
        <v>3047.6329999999998</v>
      </c>
      <c r="Z66" s="15">
        <v>211.91698308903057</v>
      </c>
    </row>
    <row r="67" spans="1:26" x14ac:dyDescent="0.25">
      <c r="A67" t="s">
        <v>92</v>
      </c>
      <c r="B67" s="7">
        <f>-CO2排放量!K80</f>
        <v>-189.71723426876332</v>
      </c>
      <c r="C67" s="7">
        <f>就业人口!K80</f>
        <v>509.4</v>
      </c>
      <c r="D67" s="7">
        <f>资本存量!K80</f>
        <v>16167.849692355008</v>
      </c>
      <c r="E67" s="7">
        <f>能源消耗量!L80</f>
        <v>5787.5</v>
      </c>
      <c r="F67" s="7">
        <f t="shared" si="12"/>
        <v>3358.3072342687633</v>
      </c>
      <c r="G67" s="7">
        <f t="shared" si="13"/>
        <v>259488.36</v>
      </c>
      <c r="H67" s="7">
        <f t="shared" si="13"/>
        <v>261399363.67458394</v>
      </c>
      <c r="I67" s="7">
        <f t="shared" si="13"/>
        <v>33495156.25</v>
      </c>
      <c r="J67" s="7">
        <f t="shared" si="14"/>
        <v>8235902.6332856407</v>
      </c>
      <c r="K67" s="7">
        <f t="shared" si="15"/>
        <v>2948152.5</v>
      </c>
      <c r="L67" s="7">
        <f t="shared" si="16"/>
        <v>93571430.09450461</v>
      </c>
      <c r="M67" s="7">
        <f t="shared" ref="M67:M81" si="20">F67*F67</f>
        <v>11278227.47974191</v>
      </c>
      <c r="N67" s="7">
        <f t="shared" si="17"/>
        <v>1710721.705136508</v>
      </c>
      <c r="O67" s="7">
        <f t="shared" si="18"/>
        <v>54296606.584405825</v>
      </c>
      <c r="P67" s="7">
        <f t="shared" si="19"/>
        <v>19436203.118330467</v>
      </c>
      <c r="Q67">
        <v>7</v>
      </c>
      <c r="R67">
        <v>6</v>
      </c>
      <c r="S67">
        <f>GDP!K80</f>
        <v>3168.59</v>
      </c>
      <c r="V67">
        <f t="shared" ref="V67:V81" si="21">-($U$2+$U$4*B67*(-1)+$U$8*C67+$U$10*D67+$U$12*E67+$U$6*S67)/($U$14+$U$16*S67+$U$18*C67+$U$20*D67+$U$22*E67+$U$6*B67*(-1))</f>
        <v>-1.8628161262025431</v>
      </c>
      <c r="X67" s="13">
        <f t="shared" ref="X67:X81" si="22">-Y67/Z67*V67</f>
        <v>26.789641001834845</v>
      </c>
      <c r="Y67" s="15">
        <v>3047.6329999999998</v>
      </c>
      <c r="Z67" s="15">
        <v>211.91698308903057</v>
      </c>
    </row>
    <row r="68" spans="1:26" x14ac:dyDescent="0.25">
      <c r="A68" t="s">
        <v>93</v>
      </c>
      <c r="B68" s="7">
        <f>-CO2排放量!K81</f>
        <v>-226.23797925305001</v>
      </c>
      <c r="C68" s="7">
        <f>就业人口!K81</f>
        <v>514.4</v>
      </c>
      <c r="D68" s="7">
        <f>资本存量!K81</f>
        <v>18429.114921888926</v>
      </c>
      <c r="E68" s="7">
        <f>能源消耗量!L81</f>
        <v>6798.2</v>
      </c>
      <c r="F68" s="7">
        <f t="shared" si="12"/>
        <v>3669.79797925305</v>
      </c>
      <c r="G68" s="7">
        <f t="shared" si="13"/>
        <v>264607.35999999999</v>
      </c>
      <c r="H68" s="7">
        <f t="shared" si="13"/>
        <v>339632276.80418909</v>
      </c>
      <c r="I68" s="7">
        <f t="shared" si="13"/>
        <v>46215523.239999995</v>
      </c>
      <c r="J68" s="7">
        <f t="shared" si="14"/>
        <v>9479936.7158196624</v>
      </c>
      <c r="K68" s="7">
        <f t="shared" si="15"/>
        <v>3496994.0799999996</v>
      </c>
      <c r="L68" s="7">
        <f t="shared" si="16"/>
        <v>125284809.0619853</v>
      </c>
      <c r="M68" s="7">
        <f t="shared" si="20"/>
        <v>13467417.208529769</v>
      </c>
      <c r="N68" s="7">
        <f t="shared" si="17"/>
        <v>1887744.0805277689</v>
      </c>
      <c r="O68" s="7">
        <f t="shared" si="18"/>
        <v>67631128.699770212</v>
      </c>
      <c r="P68" s="7">
        <f t="shared" si="19"/>
        <v>24948020.622558083</v>
      </c>
      <c r="Q68">
        <v>7</v>
      </c>
      <c r="R68">
        <v>7</v>
      </c>
      <c r="S68">
        <f>GDP!K81</f>
        <v>3443.56</v>
      </c>
      <c r="V68">
        <f t="shared" si="21"/>
        <v>-1.7369245488098068</v>
      </c>
      <c r="X68" s="13">
        <f t="shared" si="22"/>
        <v>24.979161633491962</v>
      </c>
      <c r="Y68" s="15">
        <v>3047.6329999999998</v>
      </c>
      <c r="Z68" s="15">
        <v>211.91698308903057</v>
      </c>
    </row>
    <row r="69" spans="1:26" x14ac:dyDescent="0.25">
      <c r="A69" t="s">
        <v>94</v>
      </c>
      <c r="B69" s="7">
        <f>-CO2排放量!K82</f>
        <v>-235.93472809333332</v>
      </c>
      <c r="C69" s="7">
        <f>就业人口!K82</f>
        <v>518.36</v>
      </c>
      <c r="D69" s="7">
        <f>资本存量!K82</f>
        <v>19779.263789387591</v>
      </c>
      <c r="E69" s="7">
        <f>能源消耗量!L82</f>
        <v>7530.2</v>
      </c>
      <c r="F69" s="7">
        <f t="shared" si="12"/>
        <v>3746.1447280933335</v>
      </c>
      <c r="G69" s="7">
        <f t="shared" si="13"/>
        <v>268697.08960000001</v>
      </c>
      <c r="H69" s="7">
        <f t="shared" si="13"/>
        <v>391219276.05017918</v>
      </c>
      <c r="I69" s="7">
        <f t="shared" si="13"/>
        <v>56703912.039999999</v>
      </c>
      <c r="J69" s="7">
        <f t="shared" si="14"/>
        <v>10252779.177866952</v>
      </c>
      <c r="K69" s="7">
        <f t="shared" si="15"/>
        <v>3903354.4720000001</v>
      </c>
      <c r="L69" s="7">
        <f t="shared" si="16"/>
        <v>148941812.18684644</v>
      </c>
      <c r="M69" s="7">
        <f t="shared" si="20"/>
        <v>14033600.323821476</v>
      </c>
      <c r="N69" s="7">
        <f t="shared" si="17"/>
        <v>1941851.5812544604</v>
      </c>
      <c r="O69" s="7">
        <f t="shared" si="18"/>
        <v>74095984.770181686</v>
      </c>
      <c r="P69" s="7">
        <f t="shared" si="19"/>
        <v>28209219.031488419</v>
      </c>
      <c r="Q69">
        <v>7</v>
      </c>
      <c r="R69">
        <v>8</v>
      </c>
      <c r="S69">
        <f>GDP!K82</f>
        <v>3510.21</v>
      </c>
      <c r="V69">
        <f t="shared" si="21"/>
        <v>-1.6652872746139495</v>
      </c>
      <c r="X69" s="13">
        <f t="shared" si="22"/>
        <v>23.948927446090281</v>
      </c>
      <c r="Y69" s="15">
        <v>3047.6329999999998</v>
      </c>
      <c r="Z69" s="15">
        <v>211.91698308903057</v>
      </c>
    </row>
    <row r="70" spans="1:26" x14ac:dyDescent="0.25">
      <c r="A70" t="s">
        <v>95</v>
      </c>
      <c r="B70" s="7">
        <f>-CO2排放量!K83</f>
        <v>-251.89874125555556</v>
      </c>
      <c r="C70" s="7">
        <f>就业人口!K83</f>
        <v>523.29999999999995</v>
      </c>
      <c r="D70" s="7">
        <f>资本存量!K83</f>
        <v>20653.551165606383</v>
      </c>
      <c r="E70" s="7">
        <f>能源消耗量!L83</f>
        <v>8166.7</v>
      </c>
      <c r="F70" s="7">
        <f t="shared" si="12"/>
        <v>4000.3787412555557</v>
      </c>
      <c r="G70" s="7">
        <f t="shared" si="13"/>
        <v>273842.88999999996</v>
      </c>
      <c r="H70" s="7">
        <f t="shared" si="13"/>
        <v>426569175.75032079</v>
      </c>
      <c r="I70" s="7">
        <f t="shared" si="13"/>
        <v>66694988.890000001</v>
      </c>
      <c r="J70" s="7">
        <f t="shared" si="14"/>
        <v>10808003.324961819</v>
      </c>
      <c r="K70" s="7">
        <f t="shared" si="15"/>
        <v>4273634.1099999994</v>
      </c>
      <c r="L70" s="7">
        <f t="shared" si="16"/>
        <v>168671356.30415764</v>
      </c>
      <c r="M70" s="7">
        <f t="shared" si="20"/>
        <v>16003030.073489385</v>
      </c>
      <c r="N70" s="7">
        <f t="shared" si="17"/>
        <v>2093398.1952990321</v>
      </c>
      <c r="O70" s="7">
        <f t="shared" si="18"/>
        <v>82622027.014325678</v>
      </c>
      <c r="P70" s="7">
        <f t="shared" si="19"/>
        <v>32669893.066211745</v>
      </c>
      <c r="Q70">
        <v>7</v>
      </c>
      <c r="R70">
        <v>9</v>
      </c>
      <c r="S70">
        <f>GDP!K83</f>
        <v>3748.48</v>
      </c>
      <c r="V70">
        <f t="shared" si="21"/>
        <v>-1.6163878999091379</v>
      </c>
      <c r="X70" s="13">
        <f t="shared" si="22"/>
        <v>23.24569287820697</v>
      </c>
      <c r="Y70" s="15">
        <v>3047.6329999999998</v>
      </c>
      <c r="Z70" s="15">
        <v>211.91698308903057</v>
      </c>
    </row>
    <row r="71" spans="1:26" x14ac:dyDescent="0.25">
      <c r="A71" t="s">
        <v>96</v>
      </c>
      <c r="B71" s="7">
        <f>-CO2排放量!K84</f>
        <v>-259.51291147777778</v>
      </c>
      <c r="C71" s="7">
        <f>就业人口!K84</f>
        <v>559.1</v>
      </c>
      <c r="D71" s="7">
        <f>资本存量!K84</f>
        <v>21577.015553708174</v>
      </c>
      <c r="E71" s="7">
        <f>能源消耗量!L84</f>
        <v>8581.7999999999993</v>
      </c>
      <c r="F71" s="7">
        <f t="shared" si="12"/>
        <v>4180.0629114777776</v>
      </c>
      <c r="G71" s="7">
        <f t="shared" si="13"/>
        <v>312592.81</v>
      </c>
      <c r="H71" s="7">
        <f t="shared" si="13"/>
        <v>465567600.20496446</v>
      </c>
      <c r="I71" s="7">
        <f t="shared" si="13"/>
        <v>73647291.239999995</v>
      </c>
      <c r="J71" s="7">
        <f t="shared" si="14"/>
        <v>12063709.39607824</v>
      </c>
      <c r="K71" s="7">
        <f t="shared" si="15"/>
        <v>4798084.38</v>
      </c>
      <c r="L71" s="7">
        <f t="shared" si="16"/>
        <v>185169632.07881278</v>
      </c>
      <c r="M71" s="7">
        <f t="shared" si="20"/>
        <v>17472925.943912074</v>
      </c>
      <c r="N71" s="7">
        <f t="shared" si="17"/>
        <v>2337073.1738072257</v>
      </c>
      <c r="O71" s="7">
        <f t="shared" si="18"/>
        <v>90193282.456434682</v>
      </c>
      <c r="P71" s="7">
        <f t="shared" si="19"/>
        <v>35872463.893719986</v>
      </c>
      <c r="Q71">
        <v>7</v>
      </c>
      <c r="R71">
        <v>10</v>
      </c>
      <c r="S71">
        <f>GDP!K84</f>
        <v>3920.55</v>
      </c>
      <c r="V71">
        <f t="shared" si="21"/>
        <v>-1.5840833365224274</v>
      </c>
      <c r="X71" s="13">
        <f t="shared" si="22"/>
        <v>22.781112588355597</v>
      </c>
      <c r="Y71" s="15">
        <v>3047.6329999999998</v>
      </c>
      <c r="Z71" s="15">
        <v>211.91698308903057</v>
      </c>
    </row>
    <row r="72" spans="1:26" x14ac:dyDescent="0.25">
      <c r="A72" t="s">
        <v>97</v>
      </c>
      <c r="B72" s="7">
        <f>-CO2排放量!K85</f>
        <v>-286.31109839333334</v>
      </c>
      <c r="C72" s="7">
        <f>就业人口!K85</f>
        <v>1246.1199999999999</v>
      </c>
      <c r="D72" s="7">
        <f>资本存量!K85</f>
        <v>14155.505626120583</v>
      </c>
      <c r="E72" s="7">
        <f>能源消耗量!L85</f>
        <v>9474.5</v>
      </c>
      <c r="F72" s="7">
        <f t="shared" si="12"/>
        <v>6896.3610983933331</v>
      </c>
      <c r="G72" s="7">
        <f t="shared" si="13"/>
        <v>1552815.0543999998</v>
      </c>
      <c r="H72" s="7">
        <f t="shared" si="13"/>
        <v>200378339.53113148</v>
      </c>
      <c r="I72" s="7">
        <f t="shared" si="13"/>
        <v>89766150.25</v>
      </c>
      <c r="J72" s="7">
        <f t="shared" si="14"/>
        <v>17639458.67082138</v>
      </c>
      <c r="K72" s="7">
        <f t="shared" si="15"/>
        <v>11806363.939999999</v>
      </c>
      <c r="L72" s="7">
        <f t="shared" si="16"/>
        <v>134116338.05467947</v>
      </c>
      <c r="M72" s="7">
        <f t="shared" si="20"/>
        <v>47559796.399432898</v>
      </c>
      <c r="N72" s="7">
        <f t="shared" si="17"/>
        <v>8593693.4919298999</v>
      </c>
      <c r="O72" s="7">
        <f t="shared" si="18"/>
        <v>97621478.328065947</v>
      </c>
      <c r="P72" s="7">
        <f t="shared" si="19"/>
        <v>65339573.226727635</v>
      </c>
      <c r="Q72">
        <v>8</v>
      </c>
      <c r="R72">
        <v>1</v>
      </c>
      <c r="S72">
        <f>GDP!K85</f>
        <v>6610.05</v>
      </c>
      <c r="V72">
        <f t="shared" si="21"/>
        <v>-1.5147620031701456</v>
      </c>
      <c r="X72" s="13">
        <f t="shared" si="22"/>
        <v>37.459606504846533</v>
      </c>
      <c r="Y72" s="15">
        <v>10189.320000000002</v>
      </c>
      <c r="Z72" s="15">
        <v>412.02768032666665</v>
      </c>
    </row>
    <row r="73" spans="1:26" x14ac:dyDescent="0.25">
      <c r="A73" t="s">
        <v>98</v>
      </c>
      <c r="B73" s="7">
        <f>-CO2排放量!K86</f>
        <v>-333.44079964666662</v>
      </c>
      <c r="C73" s="7">
        <f>就业人口!K86</f>
        <v>1257.8499999999999</v>
      </c>
      <c r="D73" s="7">
        <f>资本存量!K86</f>
        <v>18955.357086013006</v>
      </c>
      <c r="E73" s="7">
        <f>能源消耗量!L86</f>
        <v>11293.7</v>
      </c>
      <c r="F73" s="7">
        <f t="shared" si="12"/>
        <v>7838.7507996466666</v>
      </c>
      <c r="G73" s="7">
        <f t="shared" si="13"/>
        <v>1582186.6224999998</v>
      </c>
      <c r="H73" s="7">
        <f t="shared" si="13"/>
        <v>359305562.25826347</v>
      </c>
      <c r="I73" s="7">
        <f t="shared" si="13"/>
        <v>127547659.69000001</v>
      </c>
      <c r="J73" s="7">
        <f t="shared" si="14"/>
        <v>23842995.910641458</v>
      </c>
      <c r="K73" s="7">
        <f t="shared" si="15"/>
        <v>14205780.545</v>
      </c>
      <c r="L73" s="7">
        <f t="shared" si="16"/>
        <v>214076116.32230508</v>
      </c>
      <c r="M73" s="7">
        <f t="shared" si="20"/>
        <v>61446014.098961256</v>
      </c>
      <c r="N73" s="7">
        <f t="shared" si="17"/>
        <v>9859972.6933355592</v>
      </c>
      <c r="O73" s="7">
        <f t="shared" si="18"/>
        <v>148586320.51557255</v>
      </c>
      <c r="P73" s="7">
        <f t="shared" si="19"/>
        <v>88528499.90596956</v>
      </c>
      <c r="Q73">
        <v>8</v>
      </c>
      <c r="R73">
        <v>2</v>
      </c>
      <c r="S73">
        <f>GDP!K86</f>
        <v>7505.31</v>
      </c>
      <c r="V73">
        <f t="shared" si="21"/>
        <v>-1.4360907144502204</v>
      </c>
      <c r="X73" s="13">
        <f t="shared" si="22"/>
        <v>35.514089313030262</v>
      </c>
      <c r="Y73" s="15">
        <v>10189.320000000002</v>
      </c>
      <c r="Z73" s="15">
        <v>412.02768032666665</v>
      </c>
    </row>
    <row r="74" spans="1:26" x14ac:dyDescent="0.25">
      <c r="A74" t="s">
        <v>99</v>
      </c>
      <c r="B74" s="7">
        <f>-CO2排放量!K87</f>
        <v>-336.33677155333339</v>
      </c>
      <c r="C74" s="7">
        <f>就业人口!K87</f>
        <v>1271.9000000000001</v>
      </c>
      <c r="D74" s="7">
        <f>资本存量!K87</f>
        <v>24867.947105755757</v>
      </c>
      <c r="E74" s="7">
        <f>能源消耗量!L87</f>
        <v>13631.8</v>
      </c>
      <c r="F74" s="7">
        <f t="shared" si="12"/>
        <v>8780.1767715533333</v>
      </c>
      <c r="G74" s="7">
        <f t="shared" si="13"/>
        <v>1617729.6100000003</v>
      </c>
      <c r="H74" s="7">
        <f t="shared" si="13"/>
        <v>618414793.25466609</v>
      </c>
      <c r="I74" s="7">
        <f t="shared" si="13"/>
        <v>185825971.23999998</v>
      </c>
      <c r="J74" s="7">
        <f t="shared" si="14"/>
        <v>31629541.92381075</v>
      </c>
      <c r="K74" s="7">
        <f t="shared" si="15"/>
        <v>17338286.420000002</v>
      </c>
      <c r="L74" s="7">
        <f t="shared" si="16"/>
        <v>338994881.35624129</v>
      </c>
      <c r="M74" s="7">
        <f t="shared" si="20"/>
        <v>77091504.139724717</v>
      </c>
      <c r="N74" s="7">
        <f t="shared" si="17"/>
        <v>11167506.835738685</v>
      </c>
      <c r="O74" s="7">
        <f t="shared" si="18"/>
        <v>218344971.53417364</v>
      </c>
      <c r="P74" s="7">
        <f t="shared" si="19"/>
        <v>119689613.71446072</v>
      </c>
      <c r="Q74">
        <v>8</v>
      </c>
      <c r="R74">
        <v>3</v>
      </c>
      <c r="S74">
        <f>GDP!K87</f>
        <v>8443.84</v>
      </c>
      <c r="V74">
        <f t="shared" si="21"/>
        <v>-1.3636467577710187</v>
      </c>
      <c r="X74" s="13">
        <f t="shared" si="22"/>
        <v>33.7225721603834</v>
      </c>
      <c r="Y74" s="15">
        <v>10189.320000000002</v>
      </c>
      <c r="Z74" s="15">
        <v>412.02768032666665</v>
      </c>
    </row>
    <row r="75" spans="1:26" x14ac:dyDescent="0.25">
      <c r="A75" t="s">
        <v>100</v>
      </c>
      <c r="B75" s="7">
        <f>-CO2排放量!K88</f>
        <v>-366.25966504666678</v>
      </c>
      <c r="C75" s="7">
        <f>就业人口!K88</f>
        <v>1276.21</v>
      </c>
      <c r="D75" s="7">
        <f>资本存量!K88</f>
        <v>31928.366083603207</v>
      </c>
      <c r="E75" s="7">
        <f>能源消耗量!L88</f>
        <v>14926.1</v>
      </c>
      <c r="F75" s="7">
        <f t="shared" si="12"/>
        <v>9639.7196650466667</v>
      </c>
      <c r="G75" s="7">
        <f t="shared" si="13"/>
        <v>1628711.9641</v>
      </c>
      <c r="H75" s="7">
        <f t="shared" si="13"/>
        <v>1019420560.7685835</v>
      </c>
      <c r="I75" s="7">
        <f t="shared" si="13"/>
        <v>222788461.21000001</v>
      </c>
      <c r="J75" s="7">
        <f t="shared" si="14"/>
        <v>40747300.079555251</v>
      </c>
      <c r="K75" s="7">
        <f t="shared" si="15"/>
        <v>19048838.081</v>
      </c>
      <c r="L75" s="7">
        <f t="shared" si="16"/>
        <v>476565985.00046986</v>
      </c>
      <c r="M75" s="7">
        <f t="shared" si="20"/>
        <v>92924195.220687419</v>
      </c>
      <c r="N75" s="7">
        <f t="shared" si="17"/>
        <v>12302306.633729206</v>
      </c>
      <c r="O75" s="7">
        <f t="shared" si="18"/>
        <v>307780498.40891886</v>
      </c>
      <c r="P75" s="7">
        <f t="shared" si="19"/>
        <v>143883419.69245306</v>
      </c>
      <c r="Q75">
        <v>8</v>
      </c>
      <c r="R75">
        <v>4</v>
      </c>
      <c r="S75">
        <f>GDP!K88</f>
        <v>9273.4599999999991</v>
      </c>
      <c r="V75">
        <f t="shared" si="21"/>
        <v>-1.3311980705203104</v>
      </c>
      <c r="X75" s="13">
        <f t="shared" si="22"/>
        <v>32.920125932219172</v>
      </c>
      <c r="Y75" s="15">
        <v>10189.320000000002</v>
      </c>
      <c r="Z75" s="15">
        <v>412.02768032666665</v>
      </c>
    </row>
    <row r="76" spans="1:26" x14ac:dyDescent="0.25">
      <c r="A76" t="s">
        <v>101</v>
      </c>
      <c r="B76" s="7">
        <f>-CO2排放量!K89</f>
        <v>-379.09180007333327</v>
      </c>
      <c r="C76" s="7">
        <f>就业人口!K89</f>
        <v>1305.42</v>
      </c>
      <c r="D76" s="7">
        <f>资本存量!K89</f>
        <v>39676.273539577298</v>
      </c>
      <c r="E76" s="7">
        <f>能源消耗量!L89</f>
        <v>15666.1</v>
      </c>
      <c r="F76" s="7">
        <f t="shared" si="12"/>
        <v>9703.891800073332</v>
      </c>
      <c r="G76" s="7">
        <f t="shared" si="13"/>
        <v>1704121.3764000002</v>
      </c>
      <c r="H76" s="7">
        <f t="shared" si="13"/>
        <v>1574206681.9873617</v>
      </c>
      <c r="I76" s="7">
        <f t="shared" si="13"/>
        <v>245426689.21000001</v>
      </c>
      <c r="J76" s="7">
        <f t="shared" si="14"/>
        <v>51794201.004034996</v>
      </c>
      <c r="K76" s="7">
        <f t="shared" si="15"/>
        <v>20450840.262000002</v>
      </c>
      <c r="L76" s="7">
        <f t="shared" si="16"/>
        <v>621572468.89837193</v>
      </c>
      <c r="M76" s="7">
        <f t="shared" si="20"/>
        <v>94165516.067530453</v>
      </c>
      <c r="N76" s="7">
        <f t="shared" si="17"/>
        <v>12667654.43365173</v>
      </c>
      <c r="O76" s="7">
        <f t="shared" si="18"/>
        <v>385014265.45817065</v>
      </c>
      <c r="P76" s="7">
        <f t="shared" si="19"/>
        <v>152022139.32912883</v>
      </c>
      <c r="Q76">
        <v>8</v>
      </c>
      <c r="R76">
        <v>5</v>
      </c>
      <c r="S76">
        <f>GDP!K89</f>
        <v>9324.7999999999993</v>
      </c>
      <c r="V76">
        <f t="shared" si="21"/>
        <v>-1.3102799995501269</v>
      </c>
      <c r="X76" s="13">
        <f t="shared" si="22"/>
        <v>32.40282835956841</v>
      </c>
      <c r="Y76" s="15">
        <v>10189.320000000002</v>
      </c>
      <c r="Z76" s="15">
        <v>412.02768032666665</v>
      </c>
    </row>
    <row r="77" spans="1:26" x14ac:dyDescent="0.25">
      <c r="A77" t="s">
        <v>102</v>
      </c>
      <c r="B77" s="7">
        <f>-CO2排放量!K90</f>
        <v>-410.85326431333328</v>
      </c>
      <c r="C77" s="7">
        <f>就业人口!K90</f>
        <v>1332.66</v>
      </c>
      <c r="D77" s="7">
        <f>资本存量!K90</f>
        <v>46154.881179777876</v>
      </c>
      <c r="E77" s="7">
        <f>能源消耗量!L90</f>
        <v>16302.2</v>
      </c>
      <c r="F77" s="7">
        <f t="shared" si="12"/>
        <v>10060.553264313334</v>
      </c>
      <c r="G77" s="7">
        <f t="shared" si="13"/>
        <v>1775982.6756000002</v>
      </c>
      <c r="H77" s="7">
        <f t="shared" si="13"/>
        <v>2130273056.719414</v>
      </c>
      <c r="I77" s="7">
        <f t="shared" si="13"/>
        <v>265761724.84000003</v>
      </c>
      <c r="J77" s="7">
        <f t="shared" si="14"/>
        <v>61508763.95304279</v>
      </c>
      <c r="K77" s="7">
        <f t="shared" si="15"/>
        <v>21725289.852000002</v>
      </c>
      <c r="L77" s="7">
        <f t="shared" si="16"/>
        <v>752426103.96897495</v>
      </c>
      <c r="M77" s="7">
        <f t="shared" si="20"/>
        <v>101214731.98408568</v>
      </c>
      <c r="N77" s="7">
        <f t="shared" si="17"/>
        <v>13407296.913219808</v>
      </c>
      <c r="O77" s="7">
        <f t="shared" si="18"/>
        <v>464343640.51720834</v>
      </c>
      <c r="P77" s="7">
        <f t="shared" si="19"/>
        <v>164009151.42548883</v>
      </c>
      <c r="Q77">
        <v>8</v>
      </c>
      <c r="R77">
        <v>6</v>
      </c>
      <c r="S77">
        <f>GDP!K90</f>
        <v>9649.7000000000007</v>
      </c>
      <c r="V77">
        <f t="shared" si="21"/>
        <v>-1.2952030414060811</v>
      </c>
      <c r="X77" s="13">
        <f t="shared" si="22"/>
        <v>32.029979741644269</v>
      </c>
      <c r="Y77" s="15">
        <v>10189.320000000002</v>
      </c>
      <c r="Z77" s="15">
        <v>412.02768032666665</v>
      </c>
    </row>
    <row r="78" spans="1:26" x14ac:dyDescent="0.25">
      <c r="A78" t="s">
        <v>103</v>
      </c>
      <c r="B78" s="7">
        <f>-CO2排放量!K91</f>
        <v>-452.26483730000001</v>
      </c>
      <c r="C78" s="7">
        <f>就业人口!K91</f>
        <v>1349.79</v>
      </c>
      <c r="D78" s="7">
        <f>资本存量!K91</f>
        <v>53813.130286519205</v>
      </c>
      <c r="E78" s="7">
        <f>能源消耗量!L91</f>
        <v>17386.3</v>
      </c>
      <c r="F78" s="7">
        <f t="shared" si="12"/>
        <v>11334.224837299998</v>
      </c>
      <c r="G78" s="7">
        <f t="shared" si="13"/>
        <v>1821933.0440999998</v>
      </c>
      <c r="H78" s="7">
        <f t="shared" si="13"/>
        <v>2895852991.2338905</v>
      </c>
      <c r="I78" s="7">
        <f t="shared" si="13"/>
        <v>302283427.69</v>
      </c>
      <c r="J78" s="7">
        <f t="shared" si="14"/>
        <v>72636425.129440755</v>
      </c>
      <c r="K78" s="7">
        <f t="shared" si="15"/>
        <v>23467853.876999997</v>
      </c>
      <c r="L78" s="7">
        <f t="shared" si="16"/>
        <v>935611227.10050881</v>
      </c>
      <c r="M78" s="7">
        <f t="shared" si="20"/>
        <v>128464652.66246818</v>
      </c>
      <c r="N78" s="7">
        <f t="shared" si="17"/>
        <v>15298823.343139164</v>
      </c>
      <c r="O78" s="7">
        <f t="shared" si="18"/>
        <v>609930117.86632669</v>
      </c>
      <c r="P78" s="7">
        <f t="shared" si="19"/>
        <v>197060233.28874895</v>
      </c>
      <c r="Q78">
        <v>8</v>
      </c>
      <c r="R78">
        <v>7</v>
      </c>
      <c r="S78">
        <f>GDP!K91</f>
        <v>10881.96</v>
      </c>
      <c r="V78">
        <f t="shared" si="21"/>
        <v>-1.2768106676354087</v>
      </c>
      <c r="X78" s="13">
        <f t="shared" si="22"/>
        <v>31.575141897350875</v>
      </c>
      <c r="Y78" s="15">
        <v>10189.320000000002</v>
      </c>
      <c r="Z78" s="15">
        <v>412.02768032666665</v>
      </c>
    </row>
    <row r="79" spans="1:26" x14ac:dyDescent="0.25">
      <c r="A79" t="s">
        <v>104</v>
      </c>
      <c r="B79" s="7">
        <f>-CO2排放量!K92</f>
        <v>-480.94605451333331</v>
      </c>
      <c r="C79" s="7">
        <f>就业人口!K92</f>
        <v>1343.95</v>
      </c>
      <c r="D79" s="7">
        <f>资本存量!K92</f>
        <v>58236.157938653363</v>
      </c>
      <c r="E79" s="7">
        <f>能源消耗量!L92</f>
        <v>17694</v>
      </c>
      <c r="F79" s="7">
        <f t="shared" si="12"/>
        <v>13290.336054513333</v>
      </c>
      <c r="G79" s="7">
        <f t="shared" si="13"/>
        <v>1806201.6025</v>
      </c>
      <c r="H79" s="7">
        <f t="shared" si="13"/>
        <v>3391450091.4557791</v>
      </c>
      <c r="I79" s="7">
        <f t="shared" si="13"/>
        <v>313077636</v>
      </c>
      <c r="J79" s="7">
        <f t="shared" si="14"/>
        <v>78266484.461653188</v>
      </c>
      <c r="K79" s="7">
        <f t="shared" si="15"/>
        <v>23779851.300000001</v>
      </c>
      <c r="L79" s="7">
        <f t="shared" si="16"/>
        <v>1030430578.5665326</v>
      </c>
      <c r="M79" s="7">
        <f t="shared" si="20"/>
        <v>176633032.44189703</v>
      </c>
      <c r="N79" s="7">
        <f t="shared" si="17"/>
        <v>17861547.140463196</v>
      </c>
      <c r="O79" s="7">
        <f t="shared" si="18"/>
        <v>773978109.52841759</v>
      </c>
      <c r="P79" s="7">
        <f t="shared" si="19"/>
        <v>235159206.14855891</v>
      </c>
      <c r="Q79">
        <v>8</v>
      </c>
      <c r="R79">
        <v>8</v>
      </c>
      <c r="S79">
        <f>GDP!K92</f>
        <v>12809.39</v>
      </c>
      <c r="V79">
        <f t="shared" si="21"/>
        <v>-1.2747932667481154</v>
      </c>
      <c r="X79" s="13">
        <f t="shared" si="22"/>
        <v>31.525252183163182</v>
      </c>
      <c r="Y79" s="15">
        <v>10189.320000000002</v>
      </c>
      <c r="Z79" s="15">
        <v>412.02768032666665</v>
      </c>
    </row>
    <row r="80" spans="1:26" x14ac:dyDescent="0.25">
      <c r="A80" t="s">
        <v>105</v>
      </c>
      <c r="B80" s="7">
        <f>-CO2排放量!K93</f>
        <v>-519.30516572666659</v>
      </c>
      <c r="C80" s="7">
        <f>就业人口!K93</f>
        <v>1355.06</v>
      </c>
      <c r="D80" s="7">
        <f>资本存量!K93</f>
        <v>63004.578715401731</v>
      </c>
      <c r="E80" s="7">
        <f>能源消耗量!L93</f>
        <v>18489.8</v>
      </c>
      <c r="F80" s="7">
        <f t="shared" si="12"/>
        <v>14116.415165726667</v>
      </c>
      <c r="G80" s="7">
        <f t="shared" si="13"/>
        <v>1836187.6035999998</v>
      </c>
      <c r="H80" s="7">
        <f t="shared" si="13"/>
        <v>3969576939.1052527</v>
      </c>
      <c r="I80" s="7">
        <f t="shared" si="13"/>
        <v>341872704.03999996</v>
      </c>
      <c r="J80" s="7">
        <f t="shared" si="14"/>
        <v>85374984.434092268</v>
      </c>
      <c r="K80" s="7">
        <f t="shared" si="15"/>
        <v>25054788.387999997</v>
      </c>
      <c r="L80" s="7">
        <f t="shared" si="16"/>
        <v>1164942059.5320349</v>
      </c>
      <c r="M80" s="7">
        <f t="shared" si="20"/>
        <v>199273177.13115785</v>
      </c>
      <c r="N80" s="7">
        <f t="shared" si="17"/>
        <v>19128589.534469575</v>
      </c>
      <c r="O80" s="7">
        <f t="shared" si="18"/>
        <v>889398790.48831654</v>
      </c>
      <c r="P80" s="7">
        <f t="shared" si="19"/>
        <v>261009693.13125291</v>
      </c>
      <c r="Q80">
        <v>8</v>
      </c>
      <c r="R80">
        <v>9</v>
      </c>
      <c r="S80">
        <f>GDP!K93</f>
        <v>13597.11</v>
      </c>
      <c r="V80">
        <f t="shared" si="21"/>
        <v>-1.2630908809849062</v>
      </c>
      <c r="X80" s="13">
        <f t="shared" si="22"/>
        <v>31.235855720259895</v>
      </c>
      <c r="Y80" s="15">
        <v>10189.320000000002</v>
      </c>
      <c r="Z80" s="15">
        <v>412.02768032666665</v>
      </c>
    </row>
    <row r="81" spans="1:26" x14ac:dyDescent="0.25">
      <c r="A81" t="s">
        <v>106</v>
      </c>
      <c r="B81" s="7">
        <f>-CO2排放量!K94</f>
        <v>-555.46734670000001</v>
      </c>
      <c r="C81" s="7">
        <f>就业人口!K94</f>
        <v>1369.07</v>
      </c>
      <c r="D81" s="7">
        <f>资本存量!K94</f>
        <v>69449.204036987227</v>
      </c>
      <c r="E81" s="7">
        <f>能源消耗量!L94</f>
        <v>18981.8</v>
      </c>
      <c r="F81" s="7">
        <f t="shared" si="12"/>
        <v>14353.047346699999</v>
      </c>
      <c r="G81" s="7">
        <f t="shared" si="13"/>
        <v>1874352.6648999997</v>
      </c>
      <c r="H81" s="7">
        <f t="shared" si="13"/>
        <v>4823191941.3710833</v>
      </c>
      <c r="I81" s="7">
        <f t="shared" si="13"/>
        <v>360308731.23999995</v>
      </c>
      <c r="J81" s="7">
        <f t="shared" si="14"/>
        <v>95080821.770918101</v>
      </c>
      <c r="K81" s="7">
        <f t="shared" si="15"/>
        <v>25987412.925999999</v>
      </c>
      <c r="L81" s="7">
        <f t="shared" si="16"/>
        <v>1318270901.1892841</v>
      </c>
      <c r="M81" s="7">
        <f t="shared" si="20"/>
        <v>206009968.13661188</v>
      </c>
      <c r="N81" s="7">
        <f t="shared" si="17"/>
        <v>19650326.530946568</v>
      </c>
      <c r="O81" s="7">
        <f t="shared" si="18"/>
        <v>996807713.73350644</v>
      </c>
      <c r="P81" s="7">
        <f t="shared" si="19"/>
        <v>272446674.12559003</v>
      </c>
      <c r="Q81">
        <v>8</v>
      </c>
      <c r="R81">
        <v>10</v>
      </c>
      <c r="S81">
        <f>GDP!K94</f>
        <v>13797.58</v>
      </c>
      <c r="V81">
        <f t="shared" si="21"/>
        <v>-1.2539246350244808</v>
      </c>
      <c r="X81" s="13">
        <f t="shared" si="22"/>
        <v>31.009177228136664</v>
      </c>
      <c r="Y81" s="15">
        <v>10189.320000000002</v>
      </c>
      <c r="Z81" s="15">
        <v>412.02768032666665</v>
      </c>
    </row>
    <row r="82" spans="1:26" x14ac:dyDescent="0.25">
      <c r="E82" s="7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2CC8-DF8C-4876-8D94-8F2EE5CFBC94}">
  <dimension ref="A1:L11"/>
  <sheetViews>
    <sheetView tabSelected="1" workbookViewId="0">
      <selection activeCell="K13" sqref="K13"/>
    </sheetView>
  </sheetViews>
  <sheetFormatPr defaultRowHeight="13.8" x14ac:dyDescent="0.25"/>
  <cols>
    <col min="10" max="10" width="22" customWidth="1"/>
    <col min="11" max="11" width="15" customWidth="1"/>
    <col min="12" max="12" width="19.44140625" customWidth="1"/>
  </cols>
  <sheetData>
    <row r="1" spans="1:12" ht="14.4" x14ac:dyDescent="0.25">
      <c r="A1" s="16" t="s">
        <v>123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124</v>
      </c>
      <c r="K1" s="16" t="s">
        <v>125</v>
      </c>
      <c r="L1" s="16" t="s">
        <v>126</v>
      </c>
    </row>
    <row r="2" spans="1:12" ht="14.4" x14ac:dyDescent="0.25">
      <c r="A2" s="17">
        <v>2011</v>
      </c>
      <c r="B2" s="18">
        <v>270.69541550197056</v>
      </c>
      <c r="C2" s="18">
        <v>140.98807997379154</v>
      </c>
      <c r="D2" s="18">
        <v>151.3676013862771</v>
      </c>
      <c r="E2" s="18">
        <v>89.925830408307334</v>
      </c>
      <c r="F2" s="18">
        <v>26.776823489218799</v>
      </c>
      <c r="G2" s="18">
        <v>67.275508170968493</v>
      </c>
      <c r="H2" s="18">
        <v>30.337130248026845</v>
      </c>
      <c r="I2" s="18">
        <v>37.459606504846533</v>
      </c>
      <c r="J2" s="18">
        <f>AVERAGE(B2:E2)</f>
        <v>163.24423181758664</v>
      </c>
      <c r="K2" s="18">
        <f>AVERAGE(F2:I2)</f>
        <v>40.46226710326517</v>
      </c>
      <c r="L2" s="18">
        <f>J2-K2</f>
        <v>122.78196471432148</v>
      </c>
    </row>
    <row r="3" spans="1:12" ht="14.4" x14ac:dyDescent="0.25">
      <c r="A3" s="17">
        <v>2012</v>
      </c>
      <c r="B3" s="18">
        <v>270.32890711912319</v>
      </c>
      <c r="C3" s="18">
        <v>140.04859520324169</v>
      </c>
      <c r="D3" s="18">
        <v>150.71300326041754</v>
      </c>
      <c r="E3" s="18">
        <v>88.48787323931866</v>
      </c>
      <c r="F3" s="18">
        <v>26.466275037812974</v>
      </c>
      <c r="G3" s="18">
        <v>65.662448016344356</v>
      </c>
      <c r="H3" s="18">
        <v>29.65595046353528</v>
      </c>
      <c r="I3" s="18">
        <v>35.514089313030262</v>
      </c>
      <c r="J3" s="18">
        <f t="shared" ref="J3:J11" si="0">AVERAGE(B3:E3)</f>
        <v>162.39459470552526</v>
      </c>
      <c r="K3" s="18">
        <f t="shared" ref="K3:K11" si="1">AVERAGE(F3:I3)</f>
        <v>39.324690707680716</v>
      </c>
      <c r="L3" s="18">
        <f t="shared" ref="L3:L11" si="2">J3-K3</f>
        <v>123.06990399784455</v>
      </c>
    </row>
    <row r="4" spans="1:12" ht="14.4" x14ac:dyDescent="0.25">
      <c r="A4" s="17">
        <v>2013</v>
      </c>
      <c r="B4" s="18">
        <v>268.56339063671987</v>
      </c>
      <c r="C4" s="18">
        <v>139.78685210188209</v>
      </c>
      <c r="D4" s="18">
        <v>149.65460817955727</v>
      </c>
      <c r="E4" s="18">
        <v>87.270118144521419</v>
      </c>
      <c r="F4" s="18">
        <v>26.18059567701167</v>
      </c>
      <c r="G4" s="18">
        <v>64.426386969091197</v>
      </c>
      <c r="H4" s="18">
        <v>28.68118227705305</v>
      </c>
      <c r="I4" s="18">
        <v>33.7225721603834</v>
      </c>
      <c r="J4" s="18">
        <f t="shared" si="0"/>
        <v>161.31874226567018</v>
      </c>
      <c r="K4" s="18">
        <f t="shared" si="1"/>
        <v>38.252684270884828</v>
      </c>
      <c r="L4" s="18">
        <f t="shared" si="2"/>
        <v>123.06605799478535</v>
      </c>
    </row>
    <row r="5" spans="1:12" ht="14.4" x14ac:dyDescent="0.25">
      <c r="A5" s="17">
        <v>2014</v>
      </c>
      <c r="B5" s="18">
        <v>269.21975858591094</v>
      </c>
      <c r="C5" s="18">
        <v>139.22425045792545</v>
      </c>
      <c r="D5" s="18">
        <v>148.94511250158976</v>
      </c>
      <c r="E5" s="18">
        <v>86.895545775342072</v>
      </c>
      <c r="F5" s="18">
        <v>25.887085670370968</v>
      </c>
      <c r="G5" s="18">
        <v>63.521963983892661</v>
      </c>
      <c r="H5" s="18">
        <v>28.116030219191622</v>
      </c>
      <c r="I5" s="18">
        <v>32.920125932219172</v>
      </c>
      <c r="J5" s="18">
        <f t="shared" si="0"/>
        <v>161.07116683019206</v>
      </c>
      <c r="K5" s="18">
        <f t="shared" si="1"/>
        <v>37.611301451418605</v>
      </c>
      <c r="L5" s="18">
        <f t="shared" si="2"/>
        <v>123.45986537877346</v>
      </c>
    </row>
    <row r="6" spans="1:12" ht="14.4" x14ac:dyDescent="0.25">
      <c r="A6" s="17">
        <v>2015</v>
      </c>
      <c r="B6" s="18">
        <v>267.93200394209072</v>
      </c>
      <c r="C6" s="18">
        <v>138.71534033056653</v>
      </c>
      <c r="D6" s="18">
        <v>147.37715989319003</v>
      </c>
      <c r="E6" s="18">
        <v>86.048186659451858</v>
      </c>
      <c r="F6" s="18">
        <v>25.637590448800555</v>
      </c>
      <c r="G6" s="18">
        <v>63.017129537431444</v>
      </c>
      <c r="H6" s="18">
        <v>27.084530012980917</v>
      </c>
      <c r="I6" s="18">
        <v>32.40282835956841</v>
      </c>
      <c r="J6" s="18">
        <f t="shared" si="0"/>
        <v>160.01817270632478</v>
      </c>
      <c r="K6" s="18">
        <f t="shared" si="1"/>
        <v>37.035519589695333</v>
      </c>
      <c r="L6" s="18">
        <f t="shared" si="2"/>
        <v>122.98265311662945</v>
      </c>
    </row>
    <row r="7" spans="1:12" ht="14.4" x14ac:dyDescent="0.25">
      <c r="A7" s="17">
        <v>2016</v>
      </c>
      <c r="B7" s="18">
        <v>268.73307053550121</v>
      </c>
      <c r="C7" s="18">
        <v>138.25230302480179</v>
      </c>
      <c r="D7" s="18">
        <v>146.39367968338638</v>
      </c>
      <c r="E7" s="18">
        <v>85.373515507530627</v>
      </c>
      <c r="F7" s="18">
        <v>25.443281579391492</v>
      </c>
      <c r="G7" s="18">
        <v>63.09649095864301</v>
      </c>
      <c r="H7" s="18">
        <v>26.789641001834845</v>
      </c>
      <c r="I7" s="18">
        <v>32.029979741644269</v>
      </c>
      <c r="J7" s="18">
        <f>AVERAGE(B7:E7)</f>
        <v>159.68814218780503</v>
      </c>
      <c r="K7" s="18">
        <f>AVERAGE(F7:I7)</f>
        <v>36.839848320378401</v>
      </c>
      <c r="L7" s="18">
        <f t="shared" si="2"/>
        <v>122.84829386742663</v>
      </c>
    </row>
    <row r="8" spans="1:12" ht="14.4" x14ac:dyDescent="0.25">
      <c r="A8" s="17">
        <v>2017</v>
      </c>
      <c r="B8" s="18">
        <v>270.09302707563791</v>
      </c>
      <c r="C8" s="18">
        <v>138.13890764709754</v>
      </c>
      <c r="D8" s="18">
        <v>145.39294944639349</v>
      </c>
      <c r="E8" s="18">
        <v>84.764346837441792</v>
      </c>
      <c r="F8" s="18">
        <v>25.200134064017817</v>
      </c>
      <c r="G8" s="18">
        <v>62.109802867133574</v>
      </c>
      <c r="H8" s="18">
        <v>24.979161633491962</v>
      </c>
      <c r="I8" s="18">
        <v>31.575141897350875</v>
      </c>
      <c r="J8" s="18">
        <f t="shared" si="0"/>
        <v>159.59730775164269</v>
      </c>
      <c r="K8" s="18">
        <f t="shared" si="1"/>
        <v>35.966060115498557</v>
      </c>
      <c r="L8" s="18">
        <f t="shared" si="2"/>
        <v>123.63124763614414</v>
      </c>
    </row>
    <row r="9" spans="1:12" ht="14.4" x14ac:dyDescent="0.25">
      <c r="A9" s="17">
        <v>2018</v>
      </c>
      <c r="B9" s="18">
        <v>277.738579321234</v>
      </c>
      <c r="C9" s="18">
        <v>138.12610193914833</v>
      </c>
      <c r="D9" s="18">
        <v>144.85295123531671</v>
      </c>
      <c r="E9" s="18">
        <v>84.857499424736474</v>
      </c>
      <c r="F9" s="18">
        <v>24.551893864871229</v>
      </c>
      <c r="G9" s="18">
        <v>61.167274652884444</v>
      </c>
      <c r="H9" s="18">
        <v>23.948927446090281</v>
      </c>
      <c r="I9" s="18">
        <v>31.525252183163182</v>
      </c>
      <c r="J9" s="18">
        <f t="shared" si="0"/>
        <v>161.39378298010888</v>
      </c>
      <c r="K9" s="18">
        <f t="shared" si="1"/>
        <v>35.298337036752287</v>
      </c>
      <c r="L9" s="18">
        <f t="shared" si="2"/>
        <v>126.09544594335659</v>
      </c>
    </row>
    <row r="10" spans="1:12" ht="14.4" x14ac:dyDescent="0.25">
      <c r="A10" s="17">
        <v>2019</v>
      </c>
      <c r="B10" s="18">
        <v>277.6153222612628</v>
      </c>
      <c r="C10" s="18">
        <v>137.57932558000672</v>
      </c>
      <c r="D10" s="18">
        <v>143.85232862038865</v>
      </c>
      <c r="E10" s="18">
        <v>84.099794732895447</v>
      </c>
      <c r="F10" s="18">
        <v>24.222630474875558</v>
      </c>
      <c r="G10" s="18">
        <v>60.958905920327425</v>
      </c>
      <c r="H10" s="18">
        <v>23.24569287820697</v>
      </c>
      <c r="I10" s="18">
        <v>31.235855720259895</v>
      </c>
      <c r="J10" s="18">
        <f t="shared" si="0"/>
        <v>160.78669279863843</v>
      </c>
      <c r="K10" s="18">
        <f t="shared" si="1"/>
        <v>34.915771248417464</v>
      </c>
      <c r="L10" s="18">
        <f t="shared" si="2"/>
        <v>125.87092155022097</v>
      </c>
    </row>
    <row r="11" spans="1:12" ht="14.4" x14ac:dyDescent="0.25">
      <c r="A11" s="19">
        <v>2020</v>
      </c>
      <c r="B11" s="20">
        <v>284.26518557084995</v>
      </c>
      <c r="C11" s="20">
        <v>137.08424095743132</v>
      </c>
      <c r="D11" s="20">
        <v>141.21539207986109</v>
      </c>
      <c r="E11" s="20">
        <v>84.456444681559432</v>
      </c>
      <c r="F11" s="20">
        <v>23.982732210142768</v>
      </c>
      <c r="G11" s="20">
        <v>60.036248901727653</v>
      </c>
      <c r="H11" s="20">
        <v>22.781112588355597</v>
      </c>
      <c r="I11" s="20">
        <v>31.009177228136664</v>
      </c>
      <c r="J11" s="20">
        <f t="shared" si="0"/>
        <v>161.75531582242544</v>
      </c>
      <c r="K11" s="20">
        <f t="shared" si="1"/>
        <v>34.45231773209067</v>
      </c>
      <c r="L11" s="18">
        <f t="shared" si="2"/>
        <v>127.30299809033477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GDP</vt:lpstr>
      <vt:lpstr>资本存量</vt:lpstr>
      <vt:lpstr>就业人口</vt:lpstr>
      <vt:lpstr>能源消耗量</vt:lpstr>
      <vt:lpstr>CO2排放量</vt:lpstr>
      <vt:lpstr>OLS回归结果</vt:lpstr>
      <vt:lpstr>随即前沿分析结果</vt:lpstr>
      <vt:lpstr>影子价格结果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wyy</dc:creator>
  <cp:lastModifiedBy>翊扬 王</cp:lastModifiedBy>
  <dcterms:created xsi:type="dcterms:W3CDTF">2015-06-05T18:19:34Z</dcterms:created>
  <dcterms:modified xsi:type="dcterms:W3CDTF">2023-12-30T15:39:34Z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f58ee2f3</vt:lpwstr>
  </property>
</Properties>
</file>