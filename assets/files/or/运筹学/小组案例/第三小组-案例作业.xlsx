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zhourui/Desktop/Operations Research/运筹学小组案例/"/>
    </mc:Choice>
  </mc:AlternateContent>
  <xr:revisionPtr revIDLastSave="0" documentId="8_{A68A5D9A-D772-5C43-A71C-22A9A931F4EB}" xr6:coauthVersionLast="47" xr6:coauthVersionMax="47" xr10:uidLastSave="{00000000-0000-0000-0000-000000000000}"/>
  <bookViews>
    <workbookView xWindow="0" yWindow="500" windowWidth="28800" windowHeight="17500" activeTab="7" xr2:uid="{00000000-000D-0000-FFFF-FFFF00000000}"/>
  </bookViews>
  <sheets>
    <sheet name="7.2b" sheetId="21" r:id="rId1"/>
    <sheet name="7.2c" sheetId="14" r:id="rId2"/>
    <sheet name="7.2d(1)" sheetId="15" r:id="rId3"/>
    <sheet name="7.2d(2)" sheetId="16" r:id="rId4"/>
    <sheet name="7.2e-交易限制" sheetId="17" r:id="rId5"/>
    <sheet name="7.2e-资本流出限制" sheetId="18" r:id="rId6"/>
    <sheet name="7.2-交易成本变动" sheetId="20" r:id="rId7"/>
    <sheet name="7.2-兑换货币种类" sheetId="22" r:id="rId8"/>
    <sheet name="敏感性报告 1" sheetId="7" r:id="rId9"/>
  </sheets>
  <definedNames>
    <definedName name="solver_adj" localSheetId="0" hidden="1">'7.2b'!$C$2:$C$38</definedName>
    <definedName name="solver_adj" localSheetId="1" hidden="1">'7.2c'!$C$2:$C$38</definedName>
    <definedName name="solver_adj" localSheetId="2" hidden="1">'7.2d(1)'!$C$2:$C$38</definedName>
    <definedName name="solver_adj" localSheetId="3" hidden="1">'7.2d(2)'!$C$2:$C$38</definedName>
    <definedName name="solver_adj" localSheetId="4" hidden="1">'7.2e-交易限制'!$C$2:$C$38</definedName>
    <definedName name="solver_adj" localSheetId="5" hidden="1">'7.2e-资本流出限制'!$C$2:$C$38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0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'7.2b'!$C$2:$C$22</definedName>
    <definedName name="solver_lhs1" localSheetId="1" hidden="1">'7.2c'!$H$18:$H$25</definedName>
    <definedName name="solver_lhs1" localSheetId="2" hidden="1">'7.2d(1)'!$C$2:$C$38</definedName>
    <definedName name="solver_lhs1" localSheetId="3" hidden="1">'7.2d(2)'!$C$2:$C$38</definedName>
    <definedName name="solver_lhs1" localSheetId="4" hidden="1">'7.2e-交易限制'!$C$2:$C$38</definedName>
    <definedName name="solver_lhs1" localSheetId="5" hidden="1">'7.2e-资本流出限制'!$J$18:$J$25</definedName>
    <definedName name="solver_lhs2" localSheetId="0" hidden="1">'7.2b'!$C$2:$C$38</definedName>
    <definedName name="solver_lhs2" localSheetId="1" hidden="1">'7.2c'!$C$2:$C$38</definedName>
    <definedName name="solver_lhs2" localSheetId="2" hidden="1">'7.2d(1)'!$H$18:$H$25</definedName>
    <definedName name="solver_lhs2" localSheetId="3" hidden="1">'7.2d(2)'!$H$18:$H$25</definedName>
    <definedName name="solver_lhs2" localSheetId="4" hidden="1">'7.2e-交易限制'!$C$2:$C$38</definedName>
    <definedName name="solver_lhs2" localSheetId="5" hidden="1">'7.2e-资本流出限制'!$C$2:$C$22</definedName>
    <definedName name="solver_lhs3" localSheetId="0" hidden="1">'7.2b'!$J$18:$J$25</definedName>
    <definedName name="solver_lhs3" localSheetId="1" hidden="1">'7.2c'!$C$2:$C$38</definedName>
    <definedName name="solver_lhs3" localSheetId="2" hidden="1">'7.2d(1)'!$C$2:$C$38</definedName>
    <definedName name="solver_lhs3" localSheetId="3" hidden="1">'7.2d(2)'!$C$2:$C$38</definedName>
    <definedName name="solver_lhs3" localSheetId="4" hidden="1">'7.2e-交易限制'!$J$18:$J$25</definedName>
    <definedName name="solver_lhs3" localSheetId="5" hidden="1">'7.2e-资本流出限制'!$C$2:$C$38</definedName>
    <definedName name="solver_lhs4" localSheetId="0" hidden="1">'7.2b'!$C$2:$C$38</definedName>
    <definedName name="solver_lhs4" localSheetId="1" hidden="1">'7.2c'!$C$2:$C$38</definedName>
    <definedName name="solver_lhs4" localSheetId="2" hidden="1">'7.2d(1)'!$C$2:$C$38</definedName>
    <definedName name="solver_lhs4" localSheetId="3" hidden="1">'7.2d(2)'!$C$2:$C$38</definedName>
    <definedName name="solver_lhs4" localSheetId="4" hidden="1">'7.2e-交易限制'!$C$2:$C$38</definedName>
    <definedName name="solver_lhs4" localSheetId="5" hidden="1">'7.2e-资本流出限制'!$C$2:$C$38</definedName>
    <definedName name="solver_lin" localSheetId="0" hidden="1">1</definedName>
    <definedName name="solver_lin" localSheetId="1" hidden="1">0</definedName>
    <definedName name="solver_lin" localSheetId="2" hidden="1">1</definedName>
    <definedName name="solver_lin" localSheetId="3" hidden="1">1</definedName>
    <definedName name="solver_lin" localSheetId="4" hidden="1">0</definedName>
    <definedName name="solver_lin" localSheetId="5" hidden="1">0</definedName>
    <definedName name="solver_mip" localSheetId="0" hidden="1">0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0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0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3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3</definedName>
    <definedName name="solver_num" localSheetId="5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'7.2b'!$C$41</definedName>
    <definedName name="solver_opt" localSheetId="1" hidden="1">'7.2c'!$C$41</definedName>
    <definedName name="solver_opt" localSheetId="2" hidden="1">'7.2d(1)'!$C$41</definedName>
    <definedName name="solver_opt" localSheetId="3" hidden="1">'7.2d(2)'!$C$41</definedName>
    <definedName name="solver_opt" localSheetId="4" hidden="1">'7.2e-交易限制'!$C$41</definedName>
    <definedName name="solver_opt" localSheetId="5" hidden="1">'7.2e-资本流出限制'!$C$41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0" hidden="1">1</definedName>
    <definedName name="solver_rel1" localSheetId="1" hidden="1">2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2</definedName>
    <definedName name="solver_rel2" localSheetId="0" hidden="1">3</definedName>
    <definedName name="solver_rel2" localSheetId="1" hidden="1">3</definedName>
    <definedName name="solver_rel2" localSheetId="2" hidden="1">2</definedName>
    <definedName name="solver_rel2" localSheetId="3" hidden="1">2</definedName>
    <definedName name="solver_rel2" localSheetId="4" hidden="1">1</definedName>
    <definedName name="solver_rel2" localSheetId="5" hidden="1">1</definedName>
    <definedName name="solver_rel3" localSheetId="0" hidden="1">2</definedName>
    <definedName name="solver_rel3" localSheetId="1" hidden="1">3</definedName>
    <definedName name="solver_rel3" localSheetId="2" hidden="1">3</definedName>
    <definedName name="solver_rel3" localSheetId="3" hidden="1">3</definedName>
    <definedName name="solver_rel3" localSheetId="4" hidden="1">2</definedName>
    <definedName name="solver_rel3" localSheetId="5" hidden="1">3</definedName>
    <definedName name="solver_rel4" localSheetId="0" hidden="1">3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4" localSheetId="4" hidden="1">3</definedName>
    <definedName name="solver_rel4" localSheetId="5" hidden="1">3</definedName>
    <definedName name="solver_rhs1" localSheetId="0" hidden="1">'7.2b'!$E$2:$E$22</definedName>
    <definedName name="solver_rhs1" localSheetId="1" hidden="1">'7.2c'!$J$18:$J$25</definedName>
    <definedName name="solver_rhs1" localSheetId="2" hidden="1">0</definedName>
    <definedName name="solver_rhs1" localSheetId="3" hidden="1">0</definedName>
    <definedName name="solver_rhs1" localSheetId="4" hidden="1">0</definedName>
    <definedName name="solver_rhs1" localSheetId="5" hidden="1">'7.2e-资本流出限制'!$L$18:$L$25</definedName>
    <definedName name="solver_rhs2" localSheetId="0" hidden="1">0</definedName>
    <definedName name="solver_rhs2" localSheetId="1" hidden="1">0</definedName>
    <definedName name="solver_rhs2" localSheetId="2" hidden="1">'7.2d(1)'!$J$18:$J$25</definedName>
    <definedName name="solver_rhs2" localSheetId="3" hidden="1">'7.2d(2)'!$J$18:$J$25</definedName>
    <definedName name="solver_rhs2" localSheetId="4" hidden="1">'7.2e-交易限制'!$E$2:$E$38</definedName>
    <definedName name="solver_rhs2" localSheetId="5" hidden="1">'7.2e-资本流出限制'!$E$2:$E$22</definedName>
    <definedName name="solver_rhs3" localSheetId="0" hidden="1">'7.2b'!$L$18:$L$25</definedName>
    <definedName name="solver_rhs3" localSheetId="1" hidden="1">0</definedName>
    <definedName name="solver_rhs3" localSheetId="2" hidden="1">0</definedName>
    <definedName name="solver_rhs3" localSheetId="3" hidden="1">0</definedName>
    <definedName name="solver_rhs3" localSheetId="4" hidden="1">'7.2e-交易限制'!$L$18:$L$25</definedName>
    <definedName name="solver_rhs3" localSheetId="5" hidden="1">0</definedName>
    <definedName name="solver_rhs4" localSheetId="0" hidden="1">0</definedName>
    <definedName name="solver_rhs4" localSheetId="1" hidden="1">0</definedName>
    <definedName name="solver_rhs4" localSheetId="2" hidden="1">0</definedName>
    <definedName name="solver_rhs4" localSheetId="3" hidden="1">0</definedName>
    <definedName name="solver_rhs4" localSheetId="4" hidden="1">0</definedName>
    <definedName name="solver_rhs4" localSheetId="5" hidden="1">0</definedName>
    <definedName name="solver_rlx" localSheetId="0" hidden="1">0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0" hidden="1">0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2</definedName>
    <definedName name="solver_ver" localSheetId="4" hidden="1">3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22" l="1"/>
  <c r="D40" i="22"/>
  <c r="E40" i="22"/>
  <c r="F40" i="22"/>
  <c r="G40" i="22"/>
  <c r="L47" i="22"/>
  <c r="E2" i="20"/>
  <c r="F2" i="20" s="1"/>
  <c r="G2" i="20" s="1"/>
  <c r="H2" i="20" s="1"/>
  <c r="I2" i="20" s="1"/>
  <c r="D2" i="20"/>
  <c r="C41" i="18" l="1"/>
  <c r="L30" i="18"/>
  <c r="M30" i="18" s="1"/>
  <c r="N30" i="18" s="1"/>
  <c r="O30" i="18" s="1"/>
  <c r="P30" i="18" s="1"/>
  <c r="Q30" i="18" s="1"/>
  <c r="J25" i="18"/>
  <c r="J24" i="18"/>
  <c r="J23" i="18"/>
  <c r="J22" i="18"/>
  <c r="J21" i="18"/>
  <c r="J20" i="18"/>
  <c r="J19" i="18"/>
  <c r="J18" i="18"/>
  <c r="L12" i="18"/>
  <c r="L20" i="18" s="1"/>
  <c r="L11" i="18"/>
  <c r="L19" i="18" s="1"/>
  <c r="L10" i="18"/>
  <c r="L18" i="18" s="1"/>
  <c r="C41" i="17"/>
  <c r="J25" i="17"/>
  <c r="J24" i="17"/>
  <c r="J23" i="17"/>
  <c r="J22" i="17"/>
  <c r="J21" i="17"/>
  <c r="J20" i="17"/>
  <c r="J19" i="17"/>
  <c r="J18" i="17"/>
  <c r="L12" i="17"/>
  <c r="L20" i="17" s="1"/>
  <c r="L11" i="17"/>
  <c r="L19" i="17" s="1"/>
  <c r="L10" i="17"/>
  <c r="L18" i="17" s="1"/>
  <c r="C41" i="16"/>
  <c r="H25" i="16"/>
  <c r="H24" i="16"/>
  <c r="H23" i="16"/>
  <c r="H22" i="16"/>
  <c r="H21" i="16"/>
  <c r="H20" i="16"/>
  <c r="H19" i="16"/>
  <c r="H18" i="16"/>
  <c r="J12" i="16"/>
  <c r="J20" i="16" s="1"/>
  <c r="J11" i="16"/>
  <c r="J19" i="16" s="1"/>
  <c r="J10" i="16"/>
  <c r="J18" i="16" s="1"/>
  <c r="C41" i="15"/>
  <c r="H25" i="15"/>
  <c r="H24" i="15"/>
  <c r="H23" i="15"/>
  <c r="H22" i="15"/>
  <c r="H21" i="15"/>
  <c r="H20" i="15"/>
  <c r="H19" i="15"/>
  <c r="H18" i="15"/>
  <c r="J12" i="15"/>
  <c r="J20" i="15" s="1"/>
  <c r="J11" i="15"/>
  <c r="J19" i="15" s="1"/>
  <c r="J10" i="15"/>
  <c r="J18" i="15" s="1"/>
  <c r="C41" i="14"/>
  <c r="H25" i="14"/>
  <c r="H24" i="14"/>
  <c r="H23" i="14"/>
  <c r="H22" i="14"/>
  <c r="H21" i="14"/>
  <c r="H20" i="14"/>
  <c r="H19" i="14"/>
  <c r="H18" i="14"/>
  <c r="J12" i="14"/>
  <c r="J20" i="14" s="1"/>
  <c r="J11" i="14"/>
  <c r="J19" i="14" s="1"/>
  <c r="J10" i="14"/>
  <c r="J18" i="14" s="1"/>
  <c r="C41" i="21"/>
  <c r="J25" i="21"/>
  <c r="J24" i="21"/>
  <c r="J23" i="21"/>
  <c r="J22" i="21"/>
  <c r="J21" i="21"/>
  <c r="J20" i="21"/>
  <c r="J19" i="21"/>
  <c r="J18" i="21"/>
  <c r="L12" i="21"/>
  <c r="L20" i="21" s="1"/>
  <c r="L11" i="21"/>
  <c r="L19" i="21" s="1"/>
  <c r="L10" i="21"/>
  <c r="L18" i="21" s="1"/>
  <c r="J25" i="15" l="1"/>
  <c r="L25" i="18"/>
  <c r="L25" i="17"/>
  <c r="J25" i="16"/>
  <c r="J25" i="14"/>
  <c r="L25" i="21"/>
</calcChain>
</file>

<file path=xl/sharedStrings.xml><?xml version="1.0" encoding="utf-8"?>
<sst xmlns="http://schemas.openxmlformats.org/spreadsheetml/2006/main" count="1257" uniqueCount="130">
  <si>
    <r>
      <rPr>
        <b/>
        <sz val="11"/>
        <color theme="0"/>
        <rFont val="宋体-简 粗体"/>
        <charset val="134"/>
      </rPr>
      <t>由</t>
    </r>
  </si>
  <si>
    <r>
      <rPr>
        <b/>
        <sz val="11"/>
        <color theme="0"/>
        <rFont val="宋体-简 粗体"/>
        <charset val="134"/>
      </rPr>
      <t>转换为</t>
    </r>
  </si>
  <si>
    <r>
      <rPr>
        <b/>
        <sz val="11"/>
        <color theme="0"/>
        <rFont val="宋体-简 粗体"/>
        <charset val="134"/>
      </rPr>
      <t>交易额
（千美元）</t>
    </r>
  </si>
  <si>
    <r>
      <rPr>
        <b/>
        <sz val="11"/>
        <color theme="0"/>
        <rFont val="宋体-简 粗体"/>
        <charset val="134"/>
      </rPr>
      <t>交易限制
（千美元）</t>
    </r>
  </si>
  <si>
    <r>
      <rPr>
        <b/>
        <sz val="11"/>
        <color theme="0"/>
        <rFont val="宋体-简 粗体"/>
        <charset val="134"/>
      </rPr>
      <t>交易成本</t>
    </r>
  </si>
  <si>
    <r>
      <rPr>
        <sz val="11"/>
        <color theme="1"/>
        <rFont val="宋体-简 粗体"/>
        <charset val="134"/>
      </rPr>
      <t>日元</t>
    </r>
  </si>
  <si>
    <r>
      <rPr>
        <sz val="11"/>
        <color theme="1"/>
        <rFont val="宋体-简 粗体"/>
        <charset val="134"/>
      </rPr>
      <t>卢比</t>
    </r>
  </si>
  <si>
    <t>&lt;=</t>
  </si>
  <si>
    <r>
      <rPr>
        <b/>
        <sz val="11"/>
        <color theme="0"/>
        <rFont val="宋体-简 粗体"/>
        <charset val="134"/>
      </rPr>
      <t>币种</t>
    </r>
  </si>
  <si>
    <r>
      <rPr>
        <sz val="11"/>
        <color theme="1"/>
        <rFont val="宋体-简 粗体"/>
        <charset val="134"/>
      </rPr>
      <t>林吉特</t>
    </r>
  </si>
  <si>
    <r>
      <rPr>
        <sz val="11"/>
        <color theme="1"/>
        <rFont val="宋体-简 粗体"/>
        <charset val="134"/>
      </rPr>
      <t>美元</t>
    </r>
  </si>
  <si>
    <r>
      <rPr>
        <sz val="11"/>
        <color theme="1"/>
        <rFont val="宋体-简 粗体"/>
        <charset val="134"/>
      </rPr>
      <t>加拿大元</t>
    </r>
  </si>
  <si>
    <r>
      <rPr>
        <sz val="11"/>
        <color theme="1"/>
        <rFont val="宋体-简 粗体"/>
        <charset val="134"/>
      </rPr>
      <t>欧元</t>
    </r>
  </si>
  <si>
    <r>
      <rPr>
        <sz val="11"/>
        <color theme="1"/>
        <rFont val="宋体-简 粗体"/>
        <charset val="134"/>
      </rPr>
      <t>英镑</t>
    </r>
  </si>
  <si>
    <r>
      <rPr>
        <sz val="11"/>
        <color theme="1"/>
        <rFont val="宋体-简 粗体"/>
        <charset val="134"/>
      </rPr>
      <t>比索</t>
    </r>
  </si>
  <si>
    <r>
      <rPr>
        <b/>
        <sz val="11"/>
        <color theme="0"/>
        <rFont val="宋体-简 粗体"/>
        <charset val="134"/>
      </rPr>
      <t>初始值</t>
    </r>
  </si>
  <si>
    <r>
      <rPr>
        <b/>
        <sz val="11"/>
        <color theme="0"/>
        <rFont val="宋体-简 粗体"/>
        <charset val="134"/>
      </rPr>
      <t>供应（千）</t>
    </r>
  </si>
  <si>
    <r>
      <rPr>
        <b/>
        <sz val="11"/>
        <color theme="0"/>
        <rFont val="宋体-简 粗体"/>
        <charset val="134"/>
      </rPr>
      <t>兑换比例</t>
    </r>
  </si>
  <si>
    <r>
      <rPr>
        <b/>
        <sz val="11"/>
        <color theme="0"/>
        <rFont val="宋体-简 粗体"/>
        <charset val="134"/>
      </rPr>
      <t>初始美元值（千）</t>
    </r>
  </si>
  <si>
    <t>币种</t>
  </si>
  <si>
    <t>Net Flow</t>
  </si>
  <si>
    <t>Supply/Demand</t>
  </si>
  <si>
    <r>
      <rPr>
        <b/>
        <sz val="11"/>
        <color theme="0"/>
        <rFont val="宋体-简 粗体"/>
        <charset val="134"/>
      </rPr>
      <t>（千美元）</t>
    </r>
  </si>
  <si>
    <t>日元</t>
  </si>
  <si>
    <t>=</t>
  </si>
  <si>
    <t>卢比</t>
  </si>
  <si>
    <t>林吉特</t>
  </si>
  <si>
    <t>加拿大元</t>
  </si>
  <si>
    <t>欧元</t>
  </si>
  <si>
    <t>英镑</t>
  </si>
  <si>
    <t>比索</t>
  </si>
  <si>
    <t>美元</t>
  </si>
  <si>
    <r>
      <rPr>
        <sz val="11"/>
        <color theme="1"/>
        <rFont val="宋体-简 粗体"/>
        <charset val="134"/>
      </rPr>
      <t>加拿大元</t>
    </r>
    <r>
      <rPr>
        <sz val="11"/>
        <color theme="1"/>
        <rFont val="Times New Roman"/>
        <family val="1"/>
      </rPr>
      <t xml:space="preserve"> </t>
    </r>
  </si>
  <si>
    <r>
      <rPr>
        <b/>
        <sz val="11"/>
        <color theme="0"/>
        <rFont val="宋体-简 粗体"/>
        <charset val="134"/>
      </rPr>
      <t>由</t>
    </r>
  </si>
  <si>
    <r>
      <rPr>
        <b/>
        <sz val="11"/>
        <color theme="0"/>
        <rFont val="宋体-简 粗体"/>
        <charset val="134"/>
      </rPr>
      <t>转换为</t>
    </r>
  </si>
  <si>
    <r>
      <rPr>
        <b/>
        <sz val="11"/>
        <color theme="0"/>
        <rFont val="宋体-简 粗体"/>
        <charset val="134"/>
      </rPr>
      <t>交易成本</t>
    </r>
  </si>
  <si>
    <t>交易限制</t>
  </si>
  <si>
    <t>-</t>
  </si>
  <si>
    <r>
      <rPr>
        <b/>
        <sz val="11"/>
        <color theme="0"/>
        <rFont val="宋体-简 粗体"/>
        <charset val="134"/>
      </rPr>
      <t>转变为</t>
    </r>
  </si>
  <si>
    <t>资本流出限制（日元）</t>
  </si>
  <si>
    <r>
      <rPr>
        <b/>
        <sz val="11"/>
        <color theme="0"/>
        <rFont val="宋体-简 粗体"/>
        <charset val="134"/>
      </rPr>
      <t>费用</t>
    </r>
  </si>
  <si>
    <t>Microsoft Excel 16.0 敏感性报告</t>
  </si>
  <si>
    <t>工作表: [7.2案例分析.xlsx]初始题干</t>
  </si>
  <si>
    <t>报告的建立: 2023/11/8 15:49:56</t>
  </si>
  <si>
    <t>可变单元格</t>
  </si>
  <si>
    <t>终</t>
  </si>
  <si>
    <t>递减</t>
  </si>
  <si>
    <t>目标式</t>
  </si>
  <si>
    <t>允许的</t>
  </si>
  <si>
    <t>单元格</t>
  </si>
  <si>
    <t>名称</t>
  </si>
  <si>
    <t>值</t>
  </si>
  <si>
    <t>成本</t>
  </si>
  <si>
    <t>系数</t>
  </si>
  <si>
    <t>增量</t>
  </si>
  <si>
    <t>减量</t>
  </si>
  <si>
    <t>$C$2</t>
  </si>
  <si>
    <t>卢比 兑换数量</t>
  </si>
  <si>
    <t>$C$3</t>
  </si>
  <si>
    <t>林吉特 兑换数量</t>
  </si>
  <si>
    <t>$C$4</t>
  </si>
  <si>
    <t>美元 兑换数量</t>
  </si>
  <si>
    <t>$C$5</t>
  </si>
  <si>
    <t>加拿大元 兑换数量</t>
  </si>
  <si>
    <t>$C$6</t>
  </si>
  <si>
    <t>欧元 兑换数量</t>
  </si>
  <si>
    <t>$C$7</t>
  </si>
  <si>
    <t>英镑 兑换数量</t>
  </si>
  <si>
    <t>$C$8</t>
  </si>
  <si>
    <t>比索 兑换数量</t>
  </si>
  <si>
    <t>$C$9</t>
  </si>
  <si>
    <t>日元 兑换数量</t>
  </si>
  <si>
    <t>$C$10</t>
  </si>
  <si>
    <t>$C$11</t>
  </si>
  <si>
    <t>$C$12</t>
  </si>
  <si>
    <t>$C$13</t>
  </si>
  <si>
    <t>$C$14</t>
  </si>
  <si>
    <t>$C$15</t>
  </si>
  <si>
    <t>$C$16</t>
  </si>
  <si>
    <t>$C$17</t>
  </si>
  <si>
    <t>$C$18</t>
  </si>
  <si>
    <t>$C$19</t>
  </si>
  <si>
    <t>$C$20</t>
  </si>
  <si>
    <t>$C$21</t>
  </si>
  <si>
    <t>$C$22</t>
  </si>
  <si>
    <t>$C$23</t>
  </si>
  <si>
    <t>$C$24</t>
  </si>
  <si>
    <t>$C$25</t>
  </si>
  <si>
    <t>$C$26</t>
  </si>
  <si>
    <t>$C$27</t>
  </si>
  <si>
    <t>$C$28</t>
  </si>
  <si>
    <t>$C$29</t>
  </si>
  <si>
    <t>$C$30</t>
  </si>
  <si>
    <t>$C$31</t>
  </si>
  <si>
    <t>$C$32</t>
  </si>
  <si>
    <t>$C$33</t>
  </si>
  <si>
    <t>$C$34</t>
  </si>
  <si>
    <t>$C$35</t>
  </si>
  <si>
    <t>$C$36</t>
  </si>
  <si>
    <t>$C$37</t>
  </si>
  <si>
    <t>$C$38</t>
  </si>
  <si>
    <t>约束</t>
  </si>
  <si>
    <t>阴影</t>
  </si>
  <si>
    <t>价格</t>
  </si>
  <si>
    <t>限制值</t>
  </si>
  <si>
    <t>$I$2</t>
  </si>
  <si>
    <t>日元 net flow</t>
  </si>
  <si>
    <t>$I$3</t>
  </si>
  <si>
    <t>卢比 net flow</t>
  </si>
  <si>
    <t>$I$4</t>
  </si>
  <si>
    <t>林吉特 net flow</t>
  </si>
  <si>
    <t>$I$5</t>
  </si>
  <si>
    <t>加拿大元 net flow</t>
  </si>
  <si>
    <t>$I$6</t>
  </si>
  <si>
    <t>欧元 net flow</t>
  </si>
  <si>
    <t>$I$7</t>
  </si>
  <si>
    <t>英镑 net flow</t>
  </si>
  <si>
    <t>$I$8</t>
  </si>
  <si>
    <t>比索 net flow</t>
  </si>
  <si>
    <t>$I$9</t>
  </si>
  <si>
    <t>美元 net flow</t>
  </si>
  <si>
    <r>
      <rPr>
        <b/>
        <sz val="11"/>
        <color theme="0"/>
        <rFont val="宋体-简 粗体"/>
        <family val="1"/>
        <charset val="134"/>
      </rPr>
      <t>由</t>
    </r>
    <phoneticPr fontId="18" type="noConversion"/>
  </si>
  <si>
    <r>
      <rPr>
        <b/>
        <sz val="11"/>
        <color theme="0"/>
        <rFont val="宋体-简 粗体"/>
        <family val="1"/>
        <charset val="134"/>
      </rPr>
      <t>转换为</t>
    </r>
    <phoneticPr fontId="18" type="noConversion"/>
  </si>
  <si>
    <t>加拿大元与欧元的交易费用</t>
    <phoneticPr fontId="18" type="noConversion"/>
  </si>
  <si>
    <t>费用</t>
    <phoneticPr fontId="18" type="noConversion"/>
  </si>
  <si>
    <t>美元与欧元的交易费用</t>
    <phoneticPr fontId="18" type="noConversion"/>
  </si>
  <si>
    <t>日元与美元的交易费用</t>
    <phoneticPr fontId="18" type="noConversion"/>
  </si>
  <si>
    <t>欧元兑换数量</t>
    <phoneticPr fontId="18" type="noConversion"/>
  </si>
  <si>
    <t>欧元占比限制</t>
    <phoneticPr fontId="18" type="noConversion"/>
  </si>
  <si>
    <t>最小化总费用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</si>
</sst>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_ "/>
    <numFmt numFmtId="178" formatCode="0.000%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indexed="18"/>
      <name val="宋体"/>
      <family val="3"/>
      <charset val="134"/>
      <scheme val="minor"/>
    </font>
    <font>
      <b/>
      <sz val="11"/>
      <color indexed="18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2F2F2"/>
      <name val="宋体-简 常规体"/>
      <charset val="134"/>
    </font>
    <font>
      <b/>
      <sz val="11"/>
      <color theme="4" tint="-0.499984740745262"/>
      <name val="Times New Roman"/>
      <family val="1"/>
    </font>
    <font>
      <b/>
      <sz val="11"/>
      <color theme="4" tint="-0.249977111117893"/>
      <name val="Times New Roman"/>
      <family val="1"/>
    </font>
    <font>
      <sz val="11"/>
      <color rgb="FFF2F2F2"/>
      <name val="Times New Roman"/>
      <family val="1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-简 粗体"/>
      <charset val="134"/>
    </font>
    <font>
      <sz val="11"/>
      <color theme="1"/>
      <name val="宋体-简 粗体"/>
      <charset val="134"/>
    </font>
    <font>
      <sz val="11"/>
      <color theme="0"/>
      <name val="宋体-简 粗体"/>
      <charset val="134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theme="0"/>
      <name val="宋体-简 粗体"/>
      <family val="1"/>
      <charset val="134"/>
    </font>
    <font>
      <b/>
      <sz val="11"/>
      <color theme="0"/>
      <name val="SimSun"/>
      <family val="1"/>
      <charset val="134"/>
    </font>
    <font>
      <sz val="11"/>
      <color theme="1"/>
      <name val="宋体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7797B"/>
        <bgColor indexed="64"/>
      </patternFill>
    </fill>
    <fill>
      <patternFill patternType="solid">
        <fgColor rgb="FF66797C"/>
        <bgColor indexed="64"/>
      </patternFill>
    </fill>
    <fill>
      <patternFill patternType="solid">
        <fgColor rgb="FF84ACB7"/>
        <bgColor indexed="64"/>
      </patternFill>
    </fill>
    <fill>
      <patternFill patternType="solid">
        <fgColor rgb="FFE6EEF0"/>
        <bgColor indexed="64"/>
      </patternFill>
    </fill>
    <fill>
      <patternFill patternType="solid">
        <fgColor rgb="FFCEDEE2"/>
        <bgColor indexed="64"/>
      </patternFill>
    </fill>
    <fill>
      <patternFill patternType="solid">
        <fgColor rgb="FFCEDFE2"/>
        <bgColor indexed="64"/>
      </patternFill>
    </fill>
    <fill>
      <patternFill patternType="solid">
        <fgColor rgb="FFC4D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A8C8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6EFF1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hair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6">
    <xf numFmtId="0" fontId="0" fillId="0" borderId="0">
      <alignment vertical="center"/>
    </xf>
    <xf numFmtId="0" fontId="12" fillId="0" borderId="0">
      <alignment vertical="center"/>
    </xf>
    <xf numFmtId="0" fontId="1" fillId="0" borderId="0"/>
    <xf numFmtId="0" fontId="12" fillId="0" borderId="0"/>
    <xf numFmtId="0" fontId="21" fillId="0" borderId="0"/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2"/>
    <xf numFmtId="0" fontId="2" fillId="0" borderId="0" xfId="2" applyFont="1"/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1" fillId="0" borderId="3" xfId="2" applyBorder="1"/>
    <xf numFmtId="0" fontId="1" fillId="2" borderId="3" xfId="2" applyFill="1" applyBorder="1"/>
    <xf numFmtId="0" fontId="1" fillId="3" borderId="3" xfId="2" applyFill="1" applyBorder="1"/>
    <xf numFmtId="0" fontId="1" fillId="4" borderId="3" xfId="2" applyFill="1" applyBorder="1"/>
    <xf numFmtId="0" fontId="1" fillId="0" borderId="4" xfId="2" applyBorder="1"/>
    <xf numFmtId="0" fontId="1" fillId="5" borderId="3" xfId="2" applyFill="1" applyBorder="1"/>
    <xf numFmtId="0" fontId="5" fillId="0" borderId="0" xfId="1" applyFont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10" fontId="6" fillId="8" borderId="0" xfId="1" applyNumberFormat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5" fillId="9" borderId="5" xfId="1" applyFont="1" applyFill="1" applyBorder="1" applyAlignment="1">
      <alignment horizontal="center" vertical="center"/>
    </xf>
    <xf numFmtId="176" fontId="5" fillId="10" borderId="0" xfId="1" applyNumberFormat="1" applyFont="1" applyFill="1" applyAlignment="1">
      <alignment horizontal="center" vertical="center"/>
    </xf>
    <xf numFmtId="0" fontId="5" fillId="10" borderId="0" xfId="1" applyFont="1" applyFill="1" applyAlignment="1">
      <alignment horizontal="center" vertical="center"/>
    </xf>
    <xf numFmtId="0" fontId="5" fillId="9" borderId="6" xfId="1" applyFont="1" applyFill="1" applyBorder="1" applyAlignment="1">
      <alignment horizontal="center" vertical="center"/>
    </xf>
    <xf numFmtId="0" fontId="5" fillId="9" borderId="7" xfId="1" applyFont="1" applyFill="1" applyBorder="1" applyAlignment="1">
      <alignment horizontal="center" vertical="center"/>
    </xf>
    <xf numFmtId="0" fontId="5" fillId="11" borderId="7" xfId="1" applyFont="1" applyFill="1" applyBorder="1" applyAlignment="1">
      <alignment horizontal="center" vertical="center"/>
    </xf>
    <xf numFmtId="0" fontId="8" fillId="10" borderId="9" xfId="1" applyFont="1" applyFill="1" applyBorder="1" applyAlignment="1">
      <alignment horizontal="center" vertical="center"/>
    </xf>
    <xf numFmtId="10" fontId="5" fillId="10" borderId="0" xfId="1" applyNumberFormat="1" applyFont="1" applyFill="1" applyAlignment="1">
      <alignment horizontal="center" vertical="center"/>
    </xf>
    <xf numFmtId="10" fontId="5" fillId="8" borderId="0" xfId="1" applyNumberFormat="1" applyFont="1" applyFill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 wrapText="1"/>
    </xf>
    <xf numFmtId="0" fontId="9" fillId="12" borderId="5" xfId="1" applyFont="1" applyFill="1" applyBorder="1" applyAlignment="1">
      <alignment horizontal="center" vertical="center"/>
    </xf>
    <xf numFmtId="0" fontId="5" fillId="13" borderId="0" xfId="1" applyFont="1" applyFill="1" applyAlignment="1">
      <alignment horizontal="center" vertical="center"/>
    </xf>
    <xf numFmtId="0" fontId="5" fillId="10" borderId="10" xfId="1" applyFont="1" applyFill="1" applyBorder="1" applyAlignment="1">
      <alignment horizontal="center" vertical="center"/>
    </xf>
    <xf numFmtId="0" fontId="10" fillId="13" borderId="0" xfId="1" applyFont="1" applyFill="1" applyAlignment="1">
      <alignment horizontal="center" vertical="center"/>
    </xf>
    <xf numFmtId="0" fontId="9" fillId="12" borderId="7" xfId="1" applyFont="1" applyFill="1" applyBorder="1" applyAlignment="1">
      <alignment horizontal="center" vertical="center"/>
    </xf>
    <xf numFmtId="0" fontId="5" fillId="13" borderId="6" xfId="1" applyFont="1" applyFill="1" applyBorder="1" applyAlignment="1">
      <alignment horizontal="center" vertical="center"/>
    </xf>
    <xf numFmtId="0" fontId="5" fillId="10" borderId="11" xfId="1" applyFont="1" applyFill="1" applyBorder="1" applyAlignment="1">
      <alignment horizontal="center" vertical="center"/>
    </xf>
    <xf numFmtId="10" fontId="5" fillId="10" borderId="6" xfId="1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1">
      <alignment vertical="center"/>
    </xf>
    <xf numFmtId="0" fontId="5" fillId="10" borderId="5" xfId="1" applyFont="1" applyFill="1" applyBorder="1" applyAlignment="1">
      <alignment horizontal="center" vertical="center"/>
    </xf>
    <xf numFmtId="0" fontId="13" fillId="6" borderId="0" xfId="1" applyFont="1" applyFill="1" applyAlignment="1">
      <alignment horizontal="center" vertical="center"/>
    </xf>
    <xf numFmtId="0" fontId="14" fillId="11" borderId="0" xfId="2" applyFont="1" applyFill="1" applyAlignment="1">
      <alignment horizontal="center"/>
    </xf>
    <xf numFmtId="0" fontId="5" fillId="13" borderId="12" xfId="1" applyFont="1" applyFill="1" applyBorder="1" applyAlignment="1">
      <alignment horizontal="center" vertical="center"/>
    </xf>
    <xf numFmtId="0" fontId="6" fillId="8" borderId="0" xfId="2" applyFont="1" applyFill="1" applyAlignment="1">
      <alignment horizontal="center" vertical="center"/>
    </xf>
    <xf numFmtId="0" fontId="16" fillId="8" borderId="0" xfId="2" applyFont="1" applyFill="1" applyAlignment="1">
      <alignment horizontal="center" vertical="center"/>
    </xf>
    <xf numFmtId="0" fontId="14" fillId="11" borderId="0" xfId="2" applyFont="1" applyFill="1" applyAlignment="1">
      <alignment horizontal="center" vertical="center"/>
    </xf>
    <xf numFmtId="0" fontId="5" fillId="15" borderId="0" xfId="2" applyFont="1" applyFill="1" applyAlignment="1">
      <alignment horizontal="center" vertical="center"/>
    </xf>
    <xf numFmtId="0" fontId="1" fillId="0" borderId="0" xfId="2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16" borderId="0" xfId="1" applyFont="1" applyFill="1" applyAlignment="1">
      <alignment horizontal="center" vertical="center"/>
    </xf>
    <xf numFmtId="0" fontId="5" fillId="17" borderId="10" xfId="1" applyFont="1" applyFill="1" applyBorder="1" applyAlignment="1">
      <alignment horizontal="center" vertical="center"/>
    </xf>
    <xf numFmtId="0" fontId="5" fillId="16" borderId="6" xfId="1" applyFont="1" applyFill="1" applyBorder="1" applyAlignment="1">
      <alignment horizontal="center" vertical="center"/>
    </xf>
    <xf numFmtId="0" fontId="5" fillId="17" borderId="11" xfId="1" applyFont="1" applyFill="1" applyBorder="1" applyAlignment="1">
      <alignment horizontal="center" vertical="center"/>
    </xf>
    <xf numFmtId="0" fontId="5" fillId="18" borderId="5" xfId="1" applyFont="1" applyFill="1" applyBorder="1" applyAlignment="1">
      <alignment horizontal="center" vertical="center"/>
    </xf>
    <xf numFmtId="0" fontId="5" fillId="18" borderId="0" xfId="2" applyFont="1" applyFill="1" applyAlignment="1">
      <alignment horizontal="center"/>
    </xf>
    <xf numFmtId="0" fontId="5" fillId="17" borderId="0" xfId="2" applyFont="1" applyFill="1" applyAlignment="1">
      <alignment horizontal="center"/>
    </xf>
    <xf numFmtId="0" fontId="9" fillId="12" borderId="0" xfId="1" applyFont="1" applyFill="1" applyAlignment="1">
      <alignment horizontal="center" vertical="center"/>
    </xf>
    <xf numFmtId="10" fontId="17" fillId="17" borderId="0" xfId="1" applyNumberFormat="1" applyFont="1" applyFill="1" applyAlignment="1">
      <alignment horizontal="center" vertical="center"/>
    </xf>
    <xf numFmtId="177" fontId="9" fillId="12" borderId="5" xfId="1" applyNumberFormat="1" applyFont="1" applyFill="1" applyBorder="1" applyAlignment="1">
      <alignment horizontal="center" vertical="center"/>
    </xf>
    <xf numFmtId="177" fontId="9" fillId="12" borderId="7" xfId="1" applyNumberFormat="1" applyFont="1" applyFill="1" applyBorder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11" fillId="0" borderId="0" xfId="1" applyFont="1">
      <alignment vertical="center"/>
    </xf>
    <xf numFmtId="0" fontId="14" fillId="11" borderId="0" xfId="3" applyFont="1" applyFill="1" applyAlignment="1">
      <alignment horizontal="center"/>
    </xf>
    <xf numFmtId="0" fontId="7" fillId="0" borderId="0" xfId="1" applyFont="1">
      <alignment vertical="center"/>
    </xf>
    <xf numFmtId="178" fontId="6" fillId="8" borderId="0" xfId="1" applyNumberFormat="1" applyFont="1" applyFill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10" fontId="5" fillId="0" borderId="0" xfId="1" applyNumberFormat="1" applyFont="1" applyAlignment="1">
      <alignment horizontal="center" vertical="center"/>
    </xf>
    <xf numFmtId="0" fontId="5" fillId="11" borderId="6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6" borderId="0" xfId="1" applyFont="1" applyFill="1" applyAlignment="1">
      <alignment horizontal="center" vertical="center" wrapText="1"/>
    </xf>
    <xf numFmtId="0" fontId="13" fillId="14" borderId="0" xfId="2" applyFont="1" applyFill="1" applyAlignment="1">
      <alignment horizontal="center" vertical="center"/>
    </xf>
    <xf numFmtId="0" fontId="15" fillId="14" borderId="0" xfId="2" applyFont="1" applyFill="1" applyAlignment="1">
      <alignment horizontal="center" vertical="center"/>
    </xf>
    <xf numFmtId="0" fontId="6" fillId="6" borderId="9" xfId="1" applyFont="1" applyFill="1" applyBorder="1" applyAlignment="1">
      <alignment horizontal="center" vertical="center"/>
    </xf>
    <xf numFmtId="0" fontId="6" fillId="14" borderId="0" xfId="2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6" fillId="7" borderId="0" xfId="1" applyFont="1" applyFill="1" applyAlignment="1">
      <alignment horizontal="center" vertical="center"/>
    </xf>
    <xf numFmtId="0" fontId="7" fillId="7" borderId="0" xfId="1" applyFont="1" applyFill="1" applyAlignment="1">
      <alignment horizontal="center" vertical="center"/>
    </xf>
    <xf numFmtId="0" fontId="20" fillId="6" borderId="8" xfId="1" applyFont="1" applyFill="1" applyBorder="1" applyAlignment="1">
      <alignment horizontal="center" vertical="center"/>
    </xf>
    <xf numFmtId="0" fontId="6" fillId="6" borderId="8" xfId="1" applyFont="1" applyFill="1" applyBorder="1" applyAlignment="1">
      <alignment horizontal="center" vertical="center"/>
    </xf>
    <xf numFmtId="0" fontId="21" fillId="0" borderId="0" xfId="4"/>
    <xf numFmtId="0" fontId="8" fillId="10" borderId="9" xfId="5" applyFont="1" applyFill="1" applyBorder="1" applyAlignment="1">
      <alignment horizontal="center" vertical="center"/>
    </xf>
    <xf numFmtId="0" fontId="13" fillId="6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5" fillId="11" borderId="9" xfId="5" applyFont="1" applyFill="1" applyBorder="1" applyAlignment="1">
      <alignment horizontal="center" vertical="center"/>
    </xf>
    <xf numFmtId="0" fontId="5" fillId="9" borderId="9" xfId="5" applyFont="1" applyFill="1" applyBorder="1" applyAlignment="1">
      <alignment horizontal="center" vertical="center"/>
    </xf>
    <xf numFmtId="0" fontId="5" fillId="10" borderId="0" xfId="5" applyFont="1" applyFill="1" applyAlignment="1">
      <alignment horizontal="center" vertical="center"/>
    </xf>
    <xf numFmtId="0" fontId="5" fillId="9" borderId="5" xfId="5" applyFont="1" applyFill="1" applyBorder="1" applyAlignment="1">
      <alignment horizontal="center" vertical="center"/>
    </xf>
    <xf numFmtId="0" fontId="5" fillId="9" borderId="0" xfId="5" applyFont="1" applyFill="1" applyAlignment="1">
      <alignment horizontal="center" vertical="center"/>
    </xf>
    <xf numFmtId="10" fontId="20" fillId="8" borderId="0" xfId="5" applyNumberFormat="1" applyFont="1" applyFill="1" applyAlignment="1">
      <alignment horizontal="center" vertical="center"/>
    </xf>
    <xf numFmtId="10" fontId="6" fillId="8" borderId="0" xfId="5" applyNumberFormat="1" applyFont="1" applyFill="1" applyAlignment="1">
      <alignment horizontal="center" vertical="center"/>
    </xf>
    <xf numFmtId="0" fontId="6" fillId="7" borderId="0" xfId="5" applyFont="1" applyFill="1" applyAlignment="1">
      <alignment horizontal="center" vertical="center"/>
    </xf>
    <xf numFmtId="0" fontId="6" fillId="6" borderId="0" xfId="5" applyFont="1" applyFill="1" applyAlignment="1">
      <alignment horizontal="center" vertical="center"/>
    </xf>
    <xf numFmtId="0" fontId="7" fillId="7" borderId="0" xfId="5" applyFont="1" applyFill="1" applyAlignment="1">
      <alignment horizontal="center" vertical="center"/>
    </xf>
    <xf numFmtId="0" fontId="20" fillId="6" borderId="9" xfId="1" applyFont="1" applyFill="1" applyBorder="1" applyAlignment="1">
      <alignment horizontal="center" vertical="center"/>
    </xf>
  </cellXfs>
  <cellStyles count="6">
    <cellStyle name="常规" xfId="0" builtinId="0"/>
    <cellStyle name="常规 2" xfId="1" xr:uid="{00000000-0005-0000-0000-000031000000}"/>
    <cellStyle name="常规 2 2" xfId="5" xr:uid="{75756CBB-1577-334B-AD98-CC6488EA5703}"/>
    <cellStyle name="常规 3" xfId="2" xr:uid="{00000000-0005-0000-0000-000032000000}"/>
    <cellStyle name="常规 3 2" xfId="3" xr:uid="{00000000-0005-0000-0000-000033000000}"/>
    <cellStyle name="常规 3 3" xfId="4" xr:uid="{1A838D1B-3BE5-7640-AC98-9515B8FA434B}"/>
  </cellStyles>
  <dxfs count="0"/>
  <tableStyles count="0" defaultTableStyle="TableStyleMedium2" defaultPivotStyle="PivotStyleLight16"/>
  <colors>
    <mruColors>
      <color rgb="FF84ACB7"/>
      <color rgb="FFCEDFE2"/>
      <color rgb="FF66797C"/>
      <color rgb="FF7A8C8D"/>
      <color rgb="FFF2F2F2"/>
      <color rgb="FFE6EFF1"/>
      <color rgb="FFA3CFEE"/>
      <color rgb="FF2683C7"/>
      <color rgb="FF05B0F0"/>
      <color rgb="FF84C8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showGridLines="0" zoomScaleNormal="100" workbookViewId="0">
      <pane ySplit="1" topLeftCell="A9" activePane="bottomLeft" state="frozen"/>
      <selection pane="bottomLeft" activeCell="B41" sqref="B41"/>
    </sheetView>
  </sheetViews>
  <sheetFormatPr baseColWidth="10" defaultColWidth="9" defaultRowHeight="14"/>
  <cols>
    <col min="1" max="1" width="11.83203125" style="12" customWidth="1"/>
    <col min="2" max="2" width="12.1640625" style="12" customWidth="1"/>
    <col min="3" max="3" width="15.33203125" style="12" customWidth="1"/>
    <col min="4" max="8" width="9" style="12"/>
    <col min="9" max="9" width="17.33203125" style="12" customWidth="1"/>
    <col min="10" max="10" width="11.33203125" style="12" customWidth="1"/>
    <col min="11" max="11" width="18.33203125" style="12" customWidth="1"/>
    <col min="12" max="12" width="18.6640625" style="12" customWidth="1"/>
    <col min="13" max="16384" width="9" style="12"/>
  </cols>
  <sheetData>
    <row r="1" spans="1:12" ht="38">
      <c r="A1" s="13" t="s">
        <v>0</v>
      </c>
      <c r="B1" s="13" t="s">
        <v>1</v>
      </c>
      <c r="C1" s="26" t="s">
        <v>2</v>
      </c>
      <c r="D1" s="67" t="s">
        <v>3</v>
      </c>
      <c r="E1" s="67"/>
      <c r="F1" s="13" t="s">
        <v>4</v>
      </c>
    </row>
    <row r="2" spans="1:12" ht="18">
      <c r="A2" s="15" t="s">
        <v>5</v>
      </c>
      <c r="B2" s="16" t="s">
        <v>6</v>
      </c>
      <c r="C2" s="56">
        <v>0</v>
      </c>
      <c r="D2" s="28" t="s">
        <v>7</v>
      </c>
      <c r="E2" s="29">
        <v>5000</v>
      </c>
      <c r="F2" s="23">
        <v>5.0000000000000001E-3</v>
      </c>
      <c r="I2" s="13" t="s">
        <v>8</v>
      </c>
      <c r="J2" s="13"/>
      <c r="K2" s="13"/>
      <c r="L2" s="13"/>
    </row>
    <row r="3" spans="1:12" ht="18">
      <c r="A3" s="15" t="s">
        <v>5</v>
      </c>
      <c r="B3" s="16" t="s">
        <v>9</v>
      </c>
      <c r="C3" s="56">
        <v>0</v>
      </c>
      <c r="D3" s="28" t="s">
        <v>7</v>
      </c>
      <c r="E3" s="29">
        <v>5000</v>
      </c>
      <c r="F3" s="23">
        <v>5.0000000000000001E-3</v>
      </c>
      <c r="I3" s="15" t="s">
        <v>5</v>
      </c>
      <c r="J3" s="15" t="s">
        <v>6</v>
      </c>
      <c r="K3" s="15" t="s">
        <v>9</v>
      </c>
      <c r="L3" s="15" t="s">
        <v>10</v>
      </c>
    </row>
    <row r="4" spans="1:12" ht="18">
      <c r="A4" s="15" t="s">
        <v>5</v>
      </c>
      <c r="B4" s="16" t="s">
        <v>10</v>
      </c>
      <c r="C4" s="56">
        <v>2000</v>
      </c>
      <c r="D4" s="28" t="s">
        <v>7</v>
      </c>
      <c r="E4" s="29">
        <v>2000</v>
      </c>
      <c r="F4" s="23">
        <v>4.0000000000000001E-3</v>
      </c>
      <c r="I4" s="15" t="s">
        <v>11</v>
      </c>
      <c r="J4" s="15" t="s">
        <v>12</v>
      </c>
      <c r="K4" s="15" t="s">
        <v>13</v>
      </c>
      <c r="L4" s="15" t="s">
        <v>14</v>
      </c>
    </row>
    <row r="5" spans="1:12" ht="18">
      <c r="A5" s="15" t="s">
        <v>5</v>
      </c>
      <c r="B5" s="16" t="s">
        <v>11</v>
      </c>
      <c r="C5" s="56">
        <v>2000</v>
      </c>
      <c r="D5" s="28" t="s">
        <v>7</v>
      </c>
      <c r="E5" s="29">
        <v>2000</v>
      </c>
      <c r="F5" s="23">
        <v>4.0000000000000001E-3</v>
      </c>
      <c r="I5" s="59"/>
      <c r="J5" s="36"/>
    </row>
    <row r="6" spans="1:12" ht="18">
      <c r="A6" s="15" t="s">
        <v>5</v>
      </c>
      <c r="B6" s="16" t="s">
        <v>12</v>
      </c>
      <c r="C6" s="56">
        <v>2000</v>
      </c>
      <c r="D6" s="28" t="s">
        <v>7</v>
      </c>
      <c r="E6" s="29">
        <v>2000</v>
      </c>
      <c r="F6" s="23">
        <v>4.0000000000000001E-3</v>
      </c>
    </row>
    <row r="7" spans="1:12" ht="18">
      <c r="A7" s="15" t="s">
        <v>5</v>
      </c>
      <c r="B7" s="16" t="s">
        <v>13</v>
      </c>
      <c r="C7" s="56">
        <v>2000</v>
      </c>
      <c r="D7" s="28" t="s">
        <v>7</v>
      </c>
      <c r="E7" s="29">
        <v>2000</v>
      </c>
      <c r="F7" s="23">
        <v>2.5000000000000001E-3</v>
      </c>
    </row>
    <row r="8" spans="1:12" ht="18">
      <c r="A8" s="15" t="s">
        <v>5</v>
      </c>
      <c r="B8" s="16" t="s">
        <v>14</v>
      </c>
      <c r="C8" s="56">
        <v>1600</v>
      </c>
      <c r="D8" s="28" t="s">
        <v>7</v>
      </c>
      <c r="E8" s="29">
        <v>4000</v>
      </c>
      <c r="F8" s="23">
        <v>5.0000000000000001E-3</v>
      </c>
      <c r="I8" s="13" t="s">
        <v>15</v>
      </c>
      <c r="J8" s="13"/>
      <c r="K8" s="13"/>
      <c r="L8" s="13"/>
    </row>
    <row r="9" spans="1:12" ht="18">
      <c r="A9" s="15" t="s">
        <v>6</v>
      </c>
      <c r="B9" s="16" t="s">
        <v>5</v>
      </c>
      <c r="C9" s="56">
        <v>0</v>
      </c>
      <c r="D9" s="28" t="s">
        <v>7</v>
      </c>
      <c r="E9" s="29">
        <v>5000</v>
      </c>
      <c r="F9" s="23">
        <v>5.0000000000000001E-3</v>
      </c>
      <c r="I9" s="13" t="s">
        <v>8</v>
      </c>
      <c r="J9" s="13" t="s">
        <v>16</v>
      </c>
      <c r="K9" s="13" t="s">
        <v>17</v>
      </c>
      <c r="L9" s="13" t="s">
        <v>18</v>
      </c>
    </row>
    <row r="10" spans="1:12" ht="18">
      <c r="A10" s="15" t="s">
        <v>6</v>
      </c>
      <c r="B10" s="16" t="s">
        <v>9</v>
      </c>
      <c r="C10" s="56">
        <v>0</v>
      </c>
      <c r="D10" s="28" t="s">
        <v>7</v>
      </c>
      <c r="E10" s="29">
        <v>2000</v>
      </c>
      <c r="F10" s="23">
        <v>7.0000000000000001E-3</v>
      </c>
      <c r="I10" s="37" t="s">
        <v>5</v>
      </c>
      <c r="J10" s="15">
        <v>1200000</v>
      </c>
      <c r="K10" s="15">
        <v>8.0000000000000002E-3</v>
      </c>
      <c r="L10" s="15">
        <f>J10*K10</f>
        <v>9600</v>
      </c>
    </row>
    <row r="11" spans="1:12" ht="18">
      <c r="A11" s="15" t="s">
        <v>6</v>
      </c>
      <c r="B11" s="16" t="s">
        <v>10</v>
      </c>
      <c r="C11" s="56">
        <v>200</v>
      </c>
      <c r="D11" s="28" t="s">
        <v>7</v>
      </c>
      <c r="E11" s="29">
        <v>200</v>
      </c>
      <c r="F11" s="23">
        <v>5.0000000000000001E-3</v>
      </c>
      <c r="I11" s="37" t="s">
        <v>6</v>
      </c>
      <c r="J11" s="15">
        <v>10500000</v>
      </c>
      <c r="K11" s="15">
        <v>1.6000000000000001E-4</v>
      </c>
      <c r="L11" s="15">
        <f>J11*K11</f>
        <v>1680.0000000000002</v>
      </c>
    </row>
    <row r="12" spans="1:12" ht="18">
      <c r="A12" s="15" t="s">
        <v>6</v>
      </c>
      <c r="B12" s="16" t="s">
        <v>11</v>
      </c>
      <c r="C12" s="56">
        <v>200</v>
      </c>
      <c r="D12" s="28" t="s">
        <v>7</v>
      </c>
      <c r="E12" s="29">
        <v>200</v>
      </c>
      <c r="F12" s="23">
        <v>3.0000000000000001E-3</v>
      </c>
      <c r="I12" s="37" t="s">
        <v>9</v>
      </c>
      <c r="J12" s="15">
        <v>28000</v>
      </c>
      <c r="K12" s="15">
        <v>0.2</v>
      </c>
      <c r="L12" s="15">
        <f>J12*K12</f>
        <v>5600</v>
      </c>
    </row>
    <row r="13" spans="1:12" ht="18">
      <c r="A13" s="15" t="s">
        <v>6</v>
      </c>
      <c r="B13" s="16" t="s">
        <v>12</v>
      </c>
      <c r="C13" s="56">
        <v>1000</v>
      </c>
      <c r="D13" s="28" t="s">
        <v>7</v>
      </c>
      <c r="E13" s="29">
        <v>1000</v>
      </c>
      <c r="F13" s="23">
        <v>3.0000000000000001E-3</v>
      </c>
    </row>
    <row r="14" spans="1:12" ht="18">
      <c r="A14" s="15" t="s">
        <v>6</v>
      </c>
      <c r="B14" s="16" t="s">
        <v>13</v>
      </c>
      <c r="C14" s="56">
        <v>280</v>
      </c>
      <c r="D14" s="28" t="s">
        <v>7</v>
      </c>
      <c r="E14" s="29">
        <v>500</v>
      </c>
      <c r="F14" s="23">
        <v>7.4999999999999997E-3</v>
      </c>
    </row>
    <row r="15" spans="1:12" ht="18">
      <c r="A15" s="15" t="s">
        <v>6</v>
      </c>
      <c r="B15" s="16" t="s">
        <v>14</v>
      </c>
      <c r="C15" s="56">
        <v>0</v>
      </c>
      <c r="D15" s="28" t="s">
        <v>7</v>
      </c>
      <c r="E15" s="29">
        <v>200</v>
      </c>
      <c r="F15" s="23">
        <v>7.4999999999999997E-3</v>
      </c>
    </row>
    <row r="16" spans="1:12" ht="18">
      <c r="A16" s="15" t="s">
        <v>9</v>
      </c>
      <c r="B16" s="16" t="s">
        <v>5</v>
      </c>
      <c r="C16" s="56">
        <v>0</v>
      </c>
      <c r="D16" s="28" t="s">
        <v>7</v>
      </c>
      <c r="E16" s="29">
        <v>3000</v>
      </c>
      <c r="F16" s="23">
        <v>5.0000000000000001E-3</v>
      </c>
      <c r="I16" s="38" t="s">
        <v>19</v>
      </c>
      <c r="J16" s="13" t="s">
        <v>20</v>
      </c>
      <c r="K16" s="13"/>
      <c r="L16" s="13" t="s">
        <v>21</v>
      </c>
    </row>
    <row r="17" spans="1:12" ht="18">
      <c r="A17" s="15" t="s">
        <v>9</v>
      </c>
      <c r="B17" s="16" t="s">
        <v>6</v>
      </c>
      <c r="C17" s="56">
        <v>0</v>
      </c>
      <c r="D17" s="28" t="s">
        <v>7</v>
      </c>
      <c r="E17" s="29">
        <v>4500</v>
      </c>
      <c r="F17" s="23">
        <v>7.0000000000000001E-3</v>
      </c>
      <c r="I17" s="38"/>
      <c r="J17" s="13" t="s">
        <v>22</v>
      </c>
      <c r="K17" s="13"/>
      <c r="L17" s="13" t="s">
        <v>22</v>
      </c>
    </row>
    <row r="18" spans="1:12" ht="18">
      <c r="A18" s="15" t="s">
        <v>9</v>
      </c>
      <c r="B18" s="16" t="s">
        <v>10</v>
      </c>
      <c r="C18" s="56">
        <v>1100</v>
      </c>
      <c r="D18" s="28" t="s">
        <v>7</v>
      </c>
      <c r="E18" s="29">
        <v>1500</v>
      </c>
      <c r="F18" s="23">
        <v>7.0000000000000001E-3</v>
      </c>
      <c r="I18" s="60" t="s">
        <v>23</v>
      </c>
      <c r="J18" s="16">
        <f>SUMIF(A2:A38,I3,C2:C38)-SUMIF(B2:B38,I3,C2:C38)</f>
        <v>9600</v>
      </c>
      <c r="K18" s="40" t="s">
        <v>24</v>
      </c>
      <c r="L18" s="29">
        <f>L10</f>
        <v>9600</v>
      </c>
    </row>
    <row r="19" spans="1:12" ht="18">
      <c r="A19" s="15" t="s">
        <v>9</v>
      </c>
      <c r="B19" s="16" t="s">
        <v>11</v>
      </c>
      <c r="C19" s="56">
        <v>0</v>
      </c>
      <c r="D19" s="28" t="s">
        <v>7</v>
      </c>
      <c r="E19" s="29">
        <v>1500</v>
      </c>
      <c r="F19" s="23">
        <v>7.0000000000000001E-3</v>
      </c>
      <c r="I19" s="60" t="s">
        <v>25</v>
      </c>
      <c r="J19" s="16">
        <f>SUMIF(A2:A38,J3,C2:C38)-SUMIF(B2:B38,J3,C2:C38)</f>
        <v>1680</v>
      </c>
      <c r="K19" s="40" t="s">
        <v>24</v>
      </c>
      <c r="L19" s="29">
        <f>L11</f>
        <v>1680.0000000000002</v>
      </c>
    </row>
    <row r="20" spans="1:12" ht="18">
      <c r="A20" s="15" t="s">
        <v>9</v>
      </c>
      <c r="B20" s="16" t="s">
        <v>12</v>
      </c>
      <c r="C20" s="56">
        <v>2500</v>
      </c>
      <c r="D20" s="28" t="s">
        <v>7</v>
      </c>
      <c r="E20" s="29">
        <v>2500</v>
      </c>
      <c r="F20" s="23">
        <v>4.0000000000000001E-3</v>
      </c>
      <c r="I20" s="60" t="s">
        <v>26</v>
      </c>
      <c r="J20" s="16">
        <f>SUMIF(A2:A38,K3,C2:C38)-SUMIF(B2:B38,K3,C2:C38)</f>
        <v>5600</v>
      </c>
      <c r="K20" s="40" t="s">
        <v>24</v>
      </c>
      <c r="L20" s="29">
        <f>L12</f>
        <v>5600</v>
      </c>
    </row>
    <row r="21" spans="1:12" ht="18">
      <c r="A21" s="15" t="s">
        <v>9</v>
      </c>
      <c r="B21" s="16" t="s">
        <v>13</v>
      </c>
      <c r="C21" s="56">
        <v>1000</v>
      </c>
      <c r="D21" s="28" t="s">
        <v>7</v>
      </c>
      <c r="E21" s="29">
        <v>1000</v>
      </c>
      <c r="F21" s="23">
        <v>4.4999999999999997E-3</v>
      </c>
      <c r="I21" s="60" t="s">
        <v>27</v>
      </c>
      <c r="J21" s="16">
        <f>SUMIF(A2:A38,I4,C2:C38)-SUMIF(B2:B38,I4,C2:C38)</f>
        <v>0</v>
      </c>
      <c r="K21" s="40" t="s">
        <v>24</v>
      </c>
      <c r="L21" s="29">
        <v>0</v>
      </c>
    </row>
    <row r="22" spans="1:12" ht="18">
      <c r="A22" s="15" t="s">
        <v>9</v>
      </c>
      <c r="B22" s="16" t="s">
        <v>14</v>
      </c>
      <c r="C22" s="56">
        <v>1000</v>
      </c>
      <c r="D22" s="28" t="s">
        <v>7</v>
      </c>
      <c r="E22" s="29">
        <v>1000</v>
      </c>
      <c r="F22" s="23">
        <v>5.0000000000000001E-3</v>
      </c>
      <c r="I22" s="60" t="s">
        <v>28</v>
      </c>
      <c r="J22" s="16">
        <f>SUMIF(A2:A38,J4,C2:C38)-SUMIF(B2:B38,J4,C2:C38)</f>
        <v>0</v>
      </c>
      <c r="K22" s="40" t="s">
        <v>24</v>
      </c>
      <c r="L22" s="29">
        <v>0</v>
      </c>
    </row>
    <row r="23" spans="1:12" ht="18">
      <c r="A23" s="15" t="s">
        <v>11</v>
      </c>
      <c r="B23" s="16" t="s">
        <v>10</v>
      </c>
      <c r="C23" s="56">
        <v>2200</v>
      </c>
      <c r="D23" s="28"/>
      <c r="E23" s="29"/>
      <c r="F23" s="23">
        <v>5.0000000000000001E-4</v>
      </c>
      <c r="I23" s="60" t="s">
        <v>29</v>
      </c>
      <c r="J23" s="16">
        <f>SUMIF(A2:A38,K4,C2:C38)-SUMIF(B2:B38,K4,C2:C38)</f>
        <v>0</v>
      </c>
      <c r="K23" s="40" t="s">
        <v>24</v>
      </c>
      <c r="L23" s="29">
        <v>0</v>
      </c>
    </row>
    <row r="24" spans="1:12" ht="18">
      <c r="A24" s="15" t="s">
        <v>11</v>
      </c>
      <c r="B24" s="16" t="s">
        <v>12</v>
      </c>
      <c r="C24" s="56">
        <v>0</v>
      </c>
      <c r="D24" s="28"/>
      <c r="E24" s="29"/>
      <c r="F24" s="23">
        <v>2E-3</v>
      </c>
      <c r="I24" s="60" t="s">
        <v>30</v>
      </c>
      <c r="J24" s="16">
        <f>SUMIF(A2:A38,L4,C2:C38)-SUMIF(B2:B38,L4,C2:C38)</f>
        <v>0</v>
      </c>
      <c r="K24" s="40" t="s">
        <v>24</v>
      </c>
      <c r="L24" s="29">
        <v>0</v>
      </c>
    </row>
    <row r="25" spans="1:12" ht="18">
      <c r="A25" s="15" t="s">
        <v>11</v>
      </c>
      <c r="B25" s="16" t="s">
        <v>13</v>
      </c>
      <c r="C25" s="56">
        <v>0</v>
      </c>
      <c r="D25" s="28"/>
      <c r="E25" s="29"/>
      <c r="F25" s="23">
        <v>1E-3</v>
      </c>
      <c r="I25" s="60" t="s">
        <v>31</v>
      </c>
      <c r="J25" s="16">
        <f>SUMIF(A2:A38,L3,C2:C38)-SUMIF(B2:B38,L3,C2:C38)</f>
        <v>-16880</v>
      </c>
      <c r="K25" s="40" t="s">
        <v>24</v>
      </c>
      <c r="L25" s="29">
        <f>-SUM(L10:L12)</f>
        <v>-16880</v>
      </c>
    </row>
    <row r="26" spans="1:12" ht="18">
      <c r="A26" s="15" t="s">
        <v>11</v>
      </c>
      <c r="B26" s="16" t="s">
        <v>14</v>
      </c>
      <c r="C26" s="56">
        <v>0</v>
      </c>
      <c r="D26" s="28"/>
      <c r="E26" s="29"/>
      <c r="F26" s="23">
        <v>1E-3</v>
      </c>
    </row>
    <row r="27" spans="1:12" ht="18">
      <c r="A27" s="15" t="s">
        <v>12</v>
      </c>
      <c r="B27" s="16" t="s">
        <v>10</v>
      </c>
      <c r="C27" s="56">
        <v>5500</v>
      </c>
      <c r="D27" s="28"/>
      <c r="E27" s="29"/>
      <c r="F27" s="23">
        <v>1E-3</v>
      </c>
    </row>
    <row r="28" spans="1:12" ht="18">
      <c r="A28" s="15" t="s">
        <v>12</v>
      </c>
      <c r="B28" s="16" t="s">
        <v>32</v>
      </c>
      <c r="C28" s="56">
        <v>0</v>
      </c>
      <c r="D28" s="28"/>
      <c r="E28" s="29"/>
      <c r="F28" s="23">
        <v>2E-3</v>
      </c>
    </row>
    <row r="29" spans="1:12" ht="18">
      <c r="A29" s="15" t="s">
        <v>12</v>
      </c>
      <c r="B29" s="16" t="s">
        <v>13</v>
      </c>
      <c r="C29" s="56">
        <v>0</v>
      </c>
      <c r="D29" s="28"/>
      <c r="E29" s="29"/>
      <c r="F29" s="23">
        <v>5.0000000000000001E-4</v>
      </c>
    </row>
    <row r="30" spans="1:12" ht="18">
      <c r="A30" s="15" t="s">
        <v>12</v>
      </c>
      <c r="B30" s="16" t="s">
        <v>14</v>
      </c>
      <c r="C30" s="56">
        <v>0</v>
      </c>
      <c r="D30" s="28"/>
      <c r="E30" s="29"/>
      <c r="F30" s="23">
        <v>5.0000000000000001E-3</v>
      </c>
    </row>
    <row r="31" spans="1:12" ht="18">
      <c r="A31" s="15" t="s">
        <v>13</v>
      </c>
      <c r="B31" s="16" t="s">
        <v>10</v>
      </c>
      <c r="C31" s="56">
        <v>3280</v>
      </c>
      <c r="D31" s="28"/>
      <c r="E31" s="29"/>
      <c r="F31" s="23">
        <v>1E-3</v>
      </c>
    </row>
    <row r="32" spans="1:12" ht="18">
      <c r="A32" s="15" t="s">
        <v>13</v>
      </c>
      <c r="B32" s="16" t="s">
        <v>32</v>
      </c>
      <c r="C32" s="56">
        <v>2.2737367544323201E-13</v>
      </c>
      <c r="D32" s="28"/>
      <c r="E32" s="29"/>
      <c r="F32" s="23">
        <v>1E-3</v>
      </c>
    </row>
    <row r="33" spans="1:6" ht="18">
      <c r="A33" s="15" t="s">
        <v>13</v>
      </c>
      <c r="B33" s="16" t="s">
        <v>12</v>
      </c>
      <c r="C33" s="56">
        <v>0</v>
      </c>
      <c r="D33" s="28"/>
      <c r="E33" s="29"/>
      <c r="F33" s="23">
        <v>5.0000000000000001E-4</v>
      </c>
    </row>
    <row r="34" spans="1:6" ht="18">
      <c r="A34" s="15" t="s">
        <v>13</v>
      </c>
      <c r="B34" s="16" t="s">
        <v>14</v>
      </c>
      <c r="C34" s="56">
        <v>0</v>
      </c>
      <c r="D34" s="28"/>
      <c r="E34" s="29"/>
      <c r="F34" s="23">
        <v>5.0000000000000001E-3</v>
      </c>
    </row>
    <row r="35" spans="1:6" ht="18">
      <c r="A35" s="15" t="s">
        <v>14</v>
      </c>
      <c r="B35" s="16" t="s">
        <v>10</v>
      </c>
      <c r="C35" s="56">
        <v>2600</v>
      </c>
      <c r="D35" s="28"/>
      <c r="E35" s="29"/>
      <c r="F35" s="23">
        <v>1E-3</v>
      </c>
    </row>
    <row r="36" spans="1:6" ht="18">
      <c r="A36" s="15" t="s">
        <v>14</v>
      </c>
      <c r="B36" s="16" t="s">
        <v>32</v>
      </c>
      <c r="C36" s="56">
        <v>0</v>
      </c>
      <c r="D36" s="28"/>
      <c r="E36" s="29"/>
      <c r="F36" s="23">
        <v>1E-3</v>
      </c>
    </row>
    <row r="37" spans="1:6" ht="18">
      <c r="A37" s="15" t="s">
        <v>14</v>
      </c>
      <c r="B37" s="16" t="s">
        <v>12</v>
      </c>
      <c r="C37" s="56">
        <v>0</v>
      </c>
      <c r="D37" s="28"/>
      <c r="E37" s="29"/>
      <c r="F37" s="23">
        <v>5.0000000000000001E-3</v>
      </c>
    </row>
    <row r="38" spans="1:6" ht="18">
      <c r="A38" s="19" t="s">
        <v>14</v>
      </c>
      <c r="B38" s="20" t="s">
        <v>13</v>
      </c>
      <c r="C38" s="57">
        <v>0</v>
      </c>
      <c r="D38" s="32"/>
      <c r="E38" s="33"/>
      <c r="F38" s="34">
        <v>5.0000000000000001E-3</v>
      </c>
    </row>
    <row r="39" spans="1:6">
      <c r="C39" s="58"/>
    </row>
    <row r="41" spans="1:6">
      <c r="B41" s="92" t="s">
        <v>129</v>
      </c>
      <c r="C41" s="22">
        <f>SUMPRODUCT(F1:F37,C1:C37)</f>
        <v>83.38</v>
      </c>
    </row>
    <row r="54" spans="9:9">
      <c r="I54" s="46"/>
    </row>
  </sheetData>
  <mergeCells count="1">
    <mergeCell ref="D1:E1"/>
  </mergeCells>
  <phoneticPr fontId="1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showGridLines="0" workbookViewId="0">
      <pane ySplit="1" topLeftCell="A35" activePane="bottomLeft" state="frozen"/>
      <selection pane="bottomLeft" activeCell="B41" sqref="B41"/>
    </sheetView>
  </sheetViews>
  <sheetFormatPr baseColWidth="10" defaultColWidth="9" defaultRowHeight="14"/>
  <cols>
    <col min="1" max="1" width="11.83203125" style="12" customWidth="1"/>
    <col min="2" max="2" width="12.1640625" style="12" customWidth="1"/>
    <col min="3" max="3" width="15.33203125" style="12" customWidth="1"/>
    <col min="4" max="6" width="9" style="12"/>
    <col min="7" max="7" width="17.33203125" style="12" customWidth="1"/>
    <col min="8" max="8" width="11.33203125" style="12" customWidth="1"/>
    <col min="9" max="9" width="18.33203125" style="12" customWidth="1"/>
    <col min="10" max="10" width="18.6640625" style="12" customWidth="1"/>
    <col min="11" max="16384" width="9" style="12"/>
  </cols>
  <sheetData>
    <row r="1" spans="1:10" ht="38">
      <c r="A1" s="13" t="s">
        <v>33</v>
      </c>
      <c r="B1" s="13" t="s">
        <v>34</v>
      </c>
      <c r="C1" s="26" t="s">
        <v>2</v>
      </c>
      <c r="D1" s="13" t="s">
        <v>35</v>
      </c>
    </row>
    <row r="2" spans="1:10" ht="18">
      <c r="A2" s="15" t="s">
        <v>5</v>
      </c>
      <c r="B2" s="16" t="s">
        <v>6</v>
      </c>
      <c r="C2" s="54">
        <v>0</v>
      </c>
      <c r="D2" s="23">
        <v>5.0000000000000001E-3</v>
      </c>
      <c r="G2" s="13" t="s">
        <v>8</v>
      </c>
      <c r="H2" s="13"/>
      <c r="I2" s="13"/>
      <c r="J2" s="13"/>
    </row>
    <row r="3" spans="1:10" ht="18">
      <c r="A3" s="15" t="s">
        <v>5</v>
      </c>
      <c r="B3" s="16" t="s">
        <v>9</v>
      </c>
      <c r="C3" s="54">
        <v>0</v>
      </c>
      <c r="D3" s="23">
        <v>5.0000000000000001E-3</v>
      </c>
      <c r="G3" s="15" t="s">
        <v>5</v>
      </c>
      <c r="H3" s="15" t="s">
        <v>6</v>
      </c>
      <c r="I3" s="15" t="s">
        <v>9</v>
      </c>
      <c r="J3" s="15" t="s">
        <v>10</v>
      </c>
    </row>
    <row r="4" spans="1:10" ht="18">
      <c r="A4" s="15" t="s">
        <v>5</v>
      </c>
      <c r="B4" s="16" t="s">
        <v>10</v>
      </c>
      <c r="C4" s="54">
        <v>0</v>
      </c>
      <c r="D4" s="23">
        <v>4.0000000000000001E-3</v>
      </c>
      <c r="G4" s="15" t="s">
        <v>11</v>
      </c>
      <c r="H4" s="15" t="s">
        <v>12</v>
      </c>
      <c r="I4" s="15" t="s">
        <v>13</v>
      </c>
      <c r="J4" s="15" t="s">
        <v>14</v>
      </c>
    </row>
    <row r="5" spans="1:10" ht="18">
      <c r="A5" s="15" t="s">
        <v>5</v>
      </c>
      <c r="B5" s="16" t="s">
        <v>11</v>
      </c>
      <c r="C5" s="54">
        <v>0</v>
      </c>
      <c r="D5" s="23">
        <v>4.0000000000000001E-3</v>
      </c>
      <c r="G5" s="35"/>
      <c r="H5" s="36"/>
    </row>
    <row r="6" spans="1:10" ht="18">
      <c r="A6" s="15" t="s">
        <v>5</v>
      </c>
      <c r="B6" s="16" t="s">
        <v>12</v>
      </c>
      <c r="C6" s="54">
        <v>0</v>
      </c>
      <c r="D6" s="23">
        <v>4.0000000000000001E-3</v>
      </c>
    </row>
    <row r="7" spans="1:10" ht="18">
      <c r="A7" s="15" t="s">
        <v>5</v>
      </c>
      <c r="B7" s="16" t="s">
        <v>13</v>
      </c>
      <c r="C7" s="54">
        <v>9600</v>
      </c>
      <c r="D7" s="23">
        <v>2.5000000000000001E-3</v>
      </c>
    </row>
    <row r="8" spans="1:10" ht="18">
      <c r="A8" s="15" t="s">
        <v>5</v>
      </c>
      <c r="B8" s="16" t="s">
        <v>14</v>
      </c>
      <c r="C8" s="54">
        <v>0</v>
      </c>
      <c r="D8" s="23">
        <v>5.0000000000000001E-3</v>
      </c>
      <c r="G8" s="13" t="s">
        <v>15</v>
      </c>
      <c r="H8" s="13"/>
      <c r="I8" s="13"/>
      <c r="J8" s="13"/>
    </row>
    <row r="9" spans="1:10" ht="18">
      <c r="A9" s="15" t="s">
        <v>6</v>
      </c>
      <c r="B9" s="16" t="s">
        <v>5</v>
      </c>
      <c r="C9" s="54">
        <v>0</v>
      </c>
      <c r="D9" s="23">
        <v>5.0000000000000001E-3</v>
      </c>
      <c r="G9" s="13" t="s">
        <v>8</v>
      </c>
      <c r="H9" s="13" t="s">
        <v>16</v>
      </c>
      <c r="I9" s="13" t="s">
        <v>17</v>
      </c>
      <c r="J9" s="13" t="s">
        <v>18</v>
      </c>
    </row>
    <row r="10" spans="1:10" ht="18">
      <c r="A10" s="15" t="s">
        <v>6</v>
      </c>
      <c r="B10" s="16" t="s">
        <v>9</v>
      </c>
      <c r="C10" s="54">
        <v>0</v>
      </c>
      <c r="D10" s="23">
        <v>7.0000000000000001E-3</v>
      </c>
      <c r="G10" s="37" t="s">
        <v>5</v>
      </c>
      <c r="H10" s="15">
        <v>1200000</v>
      </c>
      <c r="I10" s="15">
        <v>8.0000000000000002E-3</v>
      </c>
      <c r="J10" s="15">
        <f>H10*I10</f>
        <v>9600</v>
      </c>
    </row>
    <row r="11" spans="1:10" ht="18">
      <c r="A11" s="15" t="s">
        <v>6</v>
      </c>
      <c r="B11" s="16" t="s">
        <v>10</v>
      </c>
      <c r="C11" s="54">
        <v>0</v>
      </c>
      <c r="D11" s="23">
        <v>5.0000000000000001E-3</v>
      </c>
      <c r="G11" s="37" t="s">
        <v>6</v>
      </c>
      <c r="H11" s="15">
        <v>10500000</v>
      </c>
      <c r="I11" s="15">
        <v>1.6000000000000001E-4</v>
      </c>
      <c r="J11" s="15">
        <f>H11*I11</f>
        <v>1680.0000000000002</v>
      </c>
    </row>
    <row r="12" spans="1:10" ht="18">
      <c r="A12" s="15" t="s">
        <v>6</v>
      </c>
      <c r="B12" s="16" t="s">
        <v>11</v>
      </c>
      <c r="C12" s="54">
        <v>1680.0000000000002</v>
      </c>
      <c r="D12" s="23">
        <v>3.0000000000000001E-3</v>
      </c>
      <c r="G12" s="37" t="s">
        <v>9</v>
      </c>
      <c r="H12" s="15">
        <v>28000</v>
      </c>
      <c r="I12" s="15">
        <v>0.2</v>
      </c>
      <c r="J12" s="15">
        <f>H12*I12</f>
        <v>5600</v>
      </c>
    </row>
    <row r="13" spans="1:10" ht="18">
      <c r="A13" s="15" t="s">
        <v>6</v>
      </c>
      <c r="B13" s="16" t="s">
        <v>12</v>
      </c>
      <c r="C13" s="54">
        <v>0</v>
      </c>
      <c r="D13" s="23">
        <v>3.0000000000000001E-3</v>
      </c>
    </row>
    <row r="14" spans="1:10" ht="18">
      <c r="A14" s="15" t="s">
        <v>6</v>
      </c>
      <c r="B14" s="16" t="s">
        <v>13</v>
      </c>
      <c r="C14" s="54">
        <v>0</v>
      </c>
      <c r="D14" s="23">
        <v>7.4999999999999997E-3</v>
      </c>
    </row>
    <row r="15" spans="1:10" ht="18">
      <c r="A15" s="15" t="s">
        <v>6</v>
      </c>
      <c r="B15" s="16" t="s">
        <v>14</v>
      </c>
      <c r="C15" s="54">
        <v>0</v>
      </c>
      <c r="D15" s="23">
        <v>7.4999999999999997E-3</v>
      </c>
    </row>
    <row r="16" spans="1:10" ht="18">
      <c r="A16" s="15" t="s">
        <v>9</v>
      </c>
      <c r="B16" s="16" t="s">
        <v>5</v>
      </c>
      <c r="C16" s="54">
        <v>0</v>
      </c>
      <c r="D16" s="23">
        <v>5.0000000000000001E-3</v>
      </c>
      <c r="G16" s="38" t="s">
        <v>19</v>
      </c>
      <c r="H16" s="13" t="s">
        <v>20</v>
      </c>
      <c r="I16" s="13"/>
      <c r="J16" s="13" t="s">
        <v>21</v>
      </c>
    </row>
    <row r="17" spans="1:10" ht="18">
      <c r="A17" s="15" t="s">
        <v>9</v>
      </c>
      <c r="B17" s="16" t="s">
        <v>6</v>
      </c>
      <c r="C17" s="54">
        <v>0</v>
      </c>
      <c r="D17" s="23">
        <v>7.0000000000000001E-3</v>
      </c>
      <c r="G17" s="38"/>
      <c r="H17" s="13" t="s">
        <v>22</v>
      </c>
      <c r="I17" s="13"/>
      <c r="J17" s="13" t="s">
        <v>22</v>
      </c>
    </row>
    <row r="18" spans="1:10" ht="18">
      <c r="A18" s="15" t="s">
        <v>9</v>
      </c>
      <c r="B18" s="16" t="s">
        <v>10</v>
      </c>
      <c r="C18" s="54">
        <v>0</v>
      </c>
      <c r="D18" s="23">
        <v>7.0000000000000001E-3</v>
      </c>
      <c r="G18" s="39" t="s">
        <v>23</v>
      </c>
      <c r="H18" s="16">
        <f>SUMIF(A2:A38,G3,C2:C38)-SUMIF(B2:B38,G3,C2:C38)</f>
        <v>9600</v>
      </c>
      <c r="I18" s="40" t="s">
        <v>24</v>
      </c>
      <c r="J18" s="29">
        <f>J10</f>
        <v>9600</v>
      </c>
    </row>
    <row r="19" spans="1:10" ht="18">
      <c r="A19" s="15" t="s">
        <v>9</v>
      </c>
      <c r="B19" s="16" t="s">
        <v>11</v>
      </c>
      <c r="C19" s="54">
        <v>0</v>
      </c>
      <c r="D19" s="23">
        <v>7.0000000000000001E-3</v>
      </c>
      <c r="G19" s="39" t="s">
        <v>25</v>
      </c>
      <c r="H19" s="16">
        <f>SUMIF(A2:A38,H3,C2:C38)-SUMIF(B2:B38,H3,C2:C38)</f>
        <v>1680.0000000000002</v>
      </c>
      <c r="I19" s="40" t="s">
        <v>24</v>
      </c>
      <c r="J19" s="29">
        <f>J11</f>
        <v>1680.0000000000002</v>
      </c>
    </row>
    <row r="20" spans="1:10" ht="18">
      <c r="A20" s="15" t="s">
        <v>9</v>
      </c>
      <c r="B20" s="16" t="s">
        <v>12</v>
      </c>
      <c r="C20" s="54">
        <v>5600</v>
      </c>
      <c r="D20" s="23">
        <v>4.0000000000000001E-3</v>
      </c>
      <c r="G20" s="39" t="s">
        <v>26</v>
      </c>
      <c r="H20" s="16">
        <f>SUMIF(A2:A38,I3,C2:C38)-SUMIF(B2:B38,I3,C2:C38)</f>
        <v>5600</v>
      </c>
      <c r="I20" s="40" t="s">
        <v>24</v>
      </c>
      <c r="J20" s="29">
        <f>J12</f>
        <v>5600</v>
      </c>
    </row>
    <row r="21" spans="1:10" ht="18">
      <c r="A21" s="15" t="s">
        <v>9</v>
      </c>
      <c r="B21" s="16" t="s">
        <v>13</v>
      </c>
      <c r="C21" s="54">
        <v>0</v>
      </c>
      <c r="D21" s="23">
        <v>4.4999999999999997E-3</v>
      </c>
      <c r="G21" s="39" t="s">
        <v>27</v>
      </c>
      <c r="H21" s="16">
        <f>SUMIF(A2:A38,G4,C2:C38)-SUMIF(B2:B38,G4,C2:C38)</f>
        <v>0</v>
      </c>
      <c r="I21" s="40" t="s">
        <v>24</v>
      </c>
      <c r="J21" s="29">
        <v>0</v>
      </c>
    </row>
    <row r="22" spans="1:10" ht="18">
      <c r="A22" s="15" t="s">
        <v>9</v>
      </c>
      <c r="B22" s="16" t="s">
        <v>14</v>
      </c>
      <c r="C22" s="54">
        <v>0</v>
      </c>
      <c r="D22" s="23">
        <v>5.0000000000000001E-3</v>
      </c>
      <c r="G22" s="39" t="s">
        <v>28</v>
      </c>
      <c r="H22" s="16">
        <f>SUMIF(A2:A38,H4,C2:C38)-SUMIF(B2:B38,H4,C2:C38)</f>
        <v>0</v>
      </c>
      <c r="I22" s="40" t="s">
        <v>24</v>
      </c>
      <c r="J22" s="29">
        <v>0</v>
      </c>
    </row>
    <row r="23" spans="1:10" ht="18">
      <c r="A23" s="15" t="s">
        <v>11</v>
      </c>
      <c r="B23" s="16" t="s">
        <v>10</v>
      </c>
      <c r="C23" s="54">
        <v>1680.0000000000002</v>
      </c>
      <c r="D23" s="23">
        <v>5.0000000000000001E-4</v>
      </c>
      <c r="G23" s="39" t="s">
        <v>29</v>
      </c>
      <c r="H23" s="16">
        <f>SUMIF(A2:A38,I4,C2:C38)-SUMIF(B2:B38,I4,C2:C38)</f>
        <v>0</v>
      </c>
      <c r="I23" s="40" t="s">
        <v>24</v>
      </c>
      <c r="J23" s="29">
        <v>0</v>
      </c>
    </row>
    <row r="24" spans="1:10" ht="18">
      <c r="A24" s="15" t="s">
        <v>11</v>
      </c>
      <c r="B24" s="16" t="s">
        <v>12</v>
      </c>
      <c r="C24" s="54">
        <v>0</v>
      </c>
      <c r="D24" s="23">
        <v>2E-3</v>
      </c>
      <c r="G24" s="39" t="s">
        <v>30</v>
      </c>
      <c r="H24" s="16">
        <f>SUMIF(A2:A38,J4,C2:C38)-SUMIF(B2:B38,J4,C2:C38)</f>
        <v>0</v>
      </c>
      <c r="I24" s="40" t="s">
        <v>24</v>
      </c>
      <c r="J24" s="29">
        <v>0</v>
      </c>
    </row>
    <row r="25" spans="1:10" ht="18">
      <c r="A25" s="15" t="s">
        <v>11</v>
      </c>
      <c r="B25" s="16" t="s">
        <v>13</v>
      </c>
      <c r="C25" s="54">
        <v>0</v>
      </c>
      <c r="D25" s="23">
        <v>1E-3</v>
      </c>
      <c r="G25" s="39" t="s">
        <v>31</v>
      </c>
      <c r="H25" s="16">
        <f>SUMIF(A2:A38,J3,C2:C38)-SUMIF(B2:B38,J3,C2:C38)</f>
        <v>-16880</v>
      </c>
      <c r="I25" s="40" t="s">
        <v>24</v>
      </c>
      <c r="J25" s="29">
        <f>-SUM(J10:J12)</f>
        <v>-16880</v>
      </c>
    </row>
    <row r="26" spans="1:10" ht="18">
      <c r="A26" s="15" t="s">
        <v>11</v>
      </c>
      <c r="B26" s="16" t="s">
        <v>14</v>
      </c>
      <c r="C26" s="54">
        <v>0</v>
      </c>
      <c r="D26" s="23">
        <v>1E-3</v>
      </c>
    </row>
    <row r="27" spans="1:10" ht="18">
      <c r="A27" s="15" t="s">
        <v>12</v>
      </c>
      <c r="B27" s="16" t="s">
        <v>10</v>
      </c>
      <c r="C27" s="54">
        <v>5600</v>
      </c>
      <c r="D27" s="23">
        <v>1E-3</v>
      </c>
    </row>
    <row r="28" spans="1:10" ht="18">
      <c r="A28" s="15" t="s">
        <v>12</v>
      </c>
      <c r="B28" s="16" t="s">
        <v>32</v>
      </c>
      <c r="C28" s="54">
        <v>0</v>
      </c>
      <c r="D28" s="23">
        <v>2E-3</v>
      </c>
    </row>
    <row r="29" spans="1:10" ht="18">
      <c r="A29" s="15" t="s">
        <v>12</v>
      </c>
      <c r="B29" s="16" t="s">
        <v>13</v>
      </c>
      <c r="C29" s="54">
        <v>0</v>
      </c>
      <c r="D29" s="23">
        <v>5.0000000000000001E-4</v>
      </c>
    </row>
    <row r="30" spans="1:10" ht="18">
      <c r="A30" s="15" t="s">
        <v>12</v>
      </c>
      <c r="B30" s="16" t="s">
        <v>14</v>
      </c>
      <c r="C30" s="54">
        <v>0</v>
      </c>
      <c r="D30" s="23">
        <v>5.0000000000000001E-3</v>
      </c>
    </row>
    <row r="31" spans="1:10" ht="18">
      <c r="A31" s="15" t="s">
        <v>13</v>
      </c>
      <c r="B31" s="16" t="s">
        <v>10</v>
      </c>
      <c r="C31" s="54">
        <v>9600</v>
      </c>
      <c r="D31" s="23">
        <v>1E-3</v>
      </c>
    </row>
    <row r="32" spans="1:10" ht="18">
      <c r="A32" s="15" t="s">
        <v>13</v>
      </c>
      <c r="B32" s="16" t="s">
        <v>32</v>
      </c>
      <c r="C32" s="54">
        <v>0</v>
      </c>
      <c r="D32" s="23">
        <v>1E-3</v>
      </c>
    </row>
    <row r="33" spans="1:4" ht="18">
      <c r="A33" s="15" t="s">
        <v>13</v>
      </c>
      <c r="B33" s="16" t="s">
        <v>12</v>
      </c>
      <c r="C33" s="54">
        <v>0</v>
      </c>
      <c r="D33" s="23">
        <v>5.0000000000000001E-4</v>
      </c>
    </row>
    <row r="34" spans="1:4" ht="18">
      <c r="A34" s="15" t="s">
        <v>13</v>
      </c>
      <c r="B34" s="16" t="s">
        <v>14</v>
      </c>
      <c r="C34" s="54">
        <v>0</v>
      </c>
      <c r="D34" s="23">
        <v>5.0000000000000001E-3</v>
      </c>
    </row>
    <row r="35" spans="1:4" ht="18">
      <c r="A35" s="15" t="s">
        <v>14</v>
      </c>
      <c r="B35" s="16" t="s">
        <v>10</v>
      </c>
      <c r="C35" s="54">
        <v>0</v>
      </c>
      <c r="D35" s="23">
        <v>1E-3</v>
      </c>
    </row>
    <row r="36" spans="1:4" ht="18">
      <c r="A36" s="15" t="s">
        <v>14</v>
      </c>
      <c r="B36" s="16" t="s">
        <v>32</v>
      </c>
      <c r="C36" s="54">
        <v>0</v>
      </c>
      <c r="D36" s="23">
        <v>1E-3</v>
      </c>
    </row>
    <row r="37" spans="1:4" ht="18">
      <c r="A37" s="15" t="s">
        <v>14</v>
      </c>
      <c r="B37" s="16" t="s">
        <v>12</v>
      </c>
      <c r="C37" s="54">
        <v>0</v>
      </c>
      <c r="D37" s="23">
        <v>5.0000000000000001E-3</v>
      </c>
    </row>
    <row r="38" spans="1:4" ht="18">
      <c r="A38" s="19" t="s">
        <v>14</v>
      </c>
      <c r="B38" s="20" t="s">
        <v>13</v>
      </c>
      <c r="C38" s="31">
        <v>0</v>
      </c>
      <c r="D38" s="34">
        <v>5.0000000000000001E-3</v>
      </c>
    </row>
    <row r="41" spans="1:4">
      <c r="B41" s="92" t="s">
        <v>129</v>
      </c>
      <c r="C41" s="22">
        <f>SUMPRODUCT(D1:D37,C1:C37)</f>
        <v>67.48</v>
      </c>
    </row>
    <row r="54" spans="7:7">
      <c r="G54" s="46"/>
    </row>
  </sheetData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4"/>
  <sheetViews>
    <sheetView showGridLines="0" workbookViewId="0">
      <pane ySplit="1" topLeftCell="A13" activePane="bottomLeft" state="frozen"/>
      <selection pane="bottomLeft" activeCell="B41" sqref="B41"/>
    </sheetView>
  </sheetViews>
  <sheetFormatPr baseColWidth="10" defaultColWidth="9" defaultRowHeight="14"/>
  <cols>
    <col min="1" max="1" width="11.83203125" style="12" customWidth="1"/>
    <col min="2" max="2" width="12.1640625" style="12" customWidth="1"/>
    <col min="3" max="3" width="15.33203125" style="12" customWidth="1"/>
    <col min="4" max="6" width="9" style="12"/>
    <col min="7" max="7" width="17.33203125" style="12" customWidth="1"/>
    <col min="8" max="8" width="11.33203125" style="12" customWidth="1"/>
    <col min="9" max="9" width="18.33203125" style="12" customWidth="1"/>
    <col min="10" max="10" width="18.6640625" style="12" customWidth="1"/>
    <col min="11" max="16384" width="9" style="12"/>
  </cols>
  <sheetData>
    <row r="1" spans="1:10" ht="38">
      <c r="A1" s="13" t="s">
        <v>33</v>
      </c>
      <c r="B1" s="13" t="s">
        <v>34</v>
      </c>
      <c r="C1" s="26" t="s">
        <v>2</v>
      </c>
      <c r="D1" s="13" t="s">
        <v>35</v>
      </c>
    </row>
    <row r="2" spans="1:10" ht="18">
      <c r="A2" s="15" t="s">
        <v>5</v>
      </c>
      <c r="B2" s="16" t="s">
        <v>6</v>
      </c>
      <c r="C2" s="54">
        <v>0</v>
      </c>
      <c r="D2" s="23">
        <v>5.0000000000000001E-3</v>
      </c>
      <c r="G2" s="13" t="s">
        <v>8</v>
      </c>
      <c r="H2" s="13"/>
      <c r="I2" s="13"/>
      <c r="J2" s="13"/>
    </row>
    <row r="3" spans="1:10" ht="18">
      <c r="A3" s="15" t="s">
        <v>5</v>
      </c>
      <c r="B3" s="16" t="s">
        <v>9</v>
      </c>
      <c r="C3" s="54">
        <v>0</v>
      </c>
      <c r="D3" s="23">
        <v>5.0000000000000001E-3</v>
      </c>
      <c r="G3" s="15" t="s">
        <v>5</v>
      </c>
      <c r="H3" s="15" t="s">
        <v>6</v>
      </c>
      <c r="I3" s="15" t="s">
        <v>9</v>
      </c>
      <c r="J3" s="15" t="s">
        <v>10</v>
      </c>
    </row>
    <row r="4" spans="1:10" ht="18">
      <c r="A4" s="15" t="s">
        <v>5</v>
      </c>
      <c r="B4" s="16" t="s">
        <v>10</v>
      </c>
      <c r="C4" s="54">
        <v>0</v>
      </c>
      <c r="D4" s="23">
        <v>4.0000000000000001E-3</v>
      </c>
      <c r="G4" s="15" t="s">
        <v>11</v>
      </c>
      <c r="H4" s="15" t="s">
        <v>12</v>
      </c>
      <c r="I4" s="15" t="s">
        <v>13</v>
      </c>
      <c r="J4" s="15" t="s">
        <v>14</v>
      </c>
    </row>
    <row r="5" spans="1:10" ht="18">
      <c r="A5" s="15" t="s">
        <v>5</v>
      </c>
      <c r="B5" s="16" t="s">
        <v>11</v>
      </c>
      <c r="C5" s="54">
        <v>0</v>
      </c>
      <c r="D5" s="23">
        <v>4.0000000000000001E-3</v>
      </c>
      <c r="G5" s="35"/>
      <c r="H5" s="36"/>
    </row>
    <row r="6" spans="1:10" ht="18">
      <c r="A6" s="15" t="s">
        <v>5</v>
      </c>
      <c r="B6" s="16" t="s">
        <v>12</v>
      </c>
      <c r="C6" s="54">
        <v>0</v>
      </c>
      <c r="D6" s="23">
        <v>4.0000000000000001E-3</v>
      </c>
    </row>
    <row r="7" spans="1:10" ht="18">
      <c r="A7" s="15" t="s">
        <v>5</v>
      </c>
      <c r="B7" s="16" t="s">
        <v>13</v>
      </c>
      <c r="C7" s="54">
        <v>9600</v>
      </c>
      <c r="D7" s="23">
        <v>2.5000000000000001E-3</v>
      </c>
    </row>
    <row r="8" spans="1:10" ht="18">
      <c r="A8" s="15" t="s">
        <v>5</v>
      </c>
      <c r="B8" s="16" t="s">
        <v>14</v>
      </c>
      <c r="C8" s="54">
        <v>0</v>
      </c>
      <c r="D8" s="23">
        <v>5.0000000000000001E-3</v>
      </c>
      <c r="G8" s="13" t="s">
        <v>15</v>
      </c>
      <c r="H8" s="13"/>
      <c r="I8" s="13"/>
      <c r="J8" s="13"/>
    </row>
    <row r="9" spans="1:10" ht="18">
      <c r="A9" s="15" t="s">
        <v>6</v>
      </c>
      <c r="B9" s="16" t="s">
        <v>5</v>
      </c>
      <c r="C9" s="54">
        <v>0</v>
      </c>
      <c r="D9" s="55">
        <v>0.03</v>
      </c>
      <c r="G9" s="13" t="s">
        <v>8</v>
      </c>
      <c r="H9" s="13" t="s">
        <v>16</v>
      </c>
      <c r="I9" s="13" t="s">
        <v>17</v>
      </c>
      <c r="J9" s="13" t="s">
        <v>18</v>
      </c>
    </row>
    <row r="10" spans="1:10" ht="18">
      <c r="A10" s="15" t="s">
        <v>6</v>
      </c>
      <c r="B10" s="16" t="s">
        <v>9</v>
      </c>
      <c r="C10" s="54">
        <v>0</v>
      </c>
      <c r="D10" s="55">
        <v>4.2000000000000003E-2</v>
      </c>
      <c r="G10" s="37" t="s">
        <v>5</v>
      </c>
      <c r="H10" s="15">
        <v>1200000</v>
      </c>
      <c r="I10" s="15">
        <v>8.0000000000000002E-3</v>
      </c>
      <c r="J10" s="15">
        <f>H10*I10</f>
        <v>9600</v>
      </c>
    </row>
    <row r="11" spans="1:10" ht="18">
      <c r="A11" s="15" t="s">
        <v>6</v>
      </c>
      <c r="B11" s="16" t="s">
        <v>10</v>
      </c>
      <c r="C11" s="54">
        <v>0</v>
      </c>
      <c r="D11" s="55">
        <v>0.03</v>
      </c>
      <c r="G11" s="37" t="s">
        <v>6</v>
      </c>
      <c r="H11" s="15">
        <v>10500000</v>
      </c>
      <c r="I11" s="15">
        <v>1.6000000000000001E-4</v>
      </c>
      <c r="J11" s="15">
        <f>H11*I11</f>
        <v>1680.0000000000002</v>
      </c>
    </row>
    <row r="12" spans="1:10" ht="18">
      <c r="A12" s="15" t="s">
        <v>6</v>
      </c>
      <c r="B12" s="16" t="s">
        <v>11</v>
      </c>
      <c r="C12" s="54">
        <v>1680</v>
      </c>
      <c r="D12" s="55">
        <v>1.7999999999999999E-2</v>
      </c>
      <c r="G12" s="37" t="s">
        <v>9</v>
      </c>
      <c r="H12" s="15">
        <v>28000</v>
      </c>
      <c r="I12" s="15">
        <v>0.2</v>
      </c>
      <c r="J12" s="15">
        <f>H12*I12</f>
        <v>5600</v>
      </c>
    </row>
    <row r="13" spans="1:10" ht="18">
      <c r="A13" s="15" t="s">
        <v>6</v>
      </c>
      <c r="B13" s="16" t="s">
        <v>12</v>
      </c>
      <c r="C13" s="54">
        <v>0</v>
      </c>
      <c r="D13" s="55">
        <v>1.7999999999999999E-2</v>
      </c>
    </row>
    <row r="14" spans="1:10" ht="18">
      <c r="A14" s="15" t="s">
        <v>6</v>
      </c>
      <c r="B14" s="16" t="s">
        <v>13</v>
      </c>
      <c r="C14" s="54">
        <v>0</v>
      </c>
      <c r="D14" s="55">
        <v>4.4999999999999998E-2</v>
      </c>
    </row>
    <row r="15" spans="1:10" ht="18">
      <c r="A15" s="15" t="s">
        <v>6</v>
      </c>
      <c r="B15" s="16" t="s">
        <v>14</v>
      </c>
      <c r="C15" s="54">
        <v>0</v>
      </c>
      <c r="D15" s="55">
        <v>4.4999999999999998E-2</v>
      </c>
    </row>
    <row r="16" spans="1:10" ht="18">
      <c r="A16" s="15" t="s">
        <v>9</v>
      </c>
      <c r="B16" s="16" t="s">
        <v>5</v>
      </c>
      <c r="C16" s="54">
        <v>0</v>
      </c>
      <c r="D16" s="23">
        <v>5.0000000000000001E-3</v>
      </c>
      <c r="G16" s="38" t="s">
        <v>19</v>
      </c>
      <c r="H16" s="13" t="s">
        <v>20</v>
      </c>
      <c r="I16" s="13"/>
      <c r="J16" s="13" t="s">
        <v>21</v>
      </c>
    </row>
    <row r="17" spans="1:10" ht="18">
      <c r="A17" s="15" t="s">
        <v>9</v>
      </c>
      <c r="B17" s="16" t="s">
        <v>6</v>
      </c>
      <c r="C17" s="54">
        <v>0</v>
      </c>
      <c r="D17" s="23">
        <v>7.0000000000000001E-3</v>
      </c>
      <c r="G17" s="38"/>
      <c r="H17" s="13" t="s">
        <v>22</v>
      </c>
      <c r="I17" s="13"/>
      <c r="J17" s="13" t="s">
        <v>22</v>
      </c>
    </row>
    <row r="18" spans="1:10" ht="18">
      <c r="A18" s="15" t="s">
        <v>9</v>
      </c>
      <c r="B18" s="16" t="s">
        <v>10</v>
      </c>
      <c r="C18" s="54">
        <v>0</v>
      </c>
      <c r="D18" s="23">
        <v>7.0000000000000001E-3</v>
      </c>
      <c r="G18" s="39" t="s">
        <v>23</v>
      </c>
      <c r="H18" s="16">
        <f>SUMIF(A2:A38,G3,C2:C38)-SUMIF(B2:B38,G3,C2:C38)</f>
        <v>9600</v>
      </c>
      <c r="I18" s="40" t="s">
        <v>24</v>
      </c>
      <c r="J18" s="29">
        <f>J10</f>
        <v>9600</v>
      </c>
    </row>
    <row r="19" spans="1:10" ht="18">
      <c r="A19" s="15" t="s">
        <v>9</v>
      </c>
      <c r="B19" s="16" t="s">
        <v>11</v>
      </c>
      <c r="C19" s="54">
        <v>0</v>
      </c>
      <c r="D19" s="23">
        <v>7.0000000000000001E-3</v>
      </c>
      <c r="G19" s="39" t="s">
        <v>25</v>
      </c>
      <c r="H19" s="16">
        <f>SUMIF(A2:A38,H3,C2:C38)-SUMIF(B2:B38,H3,C2:C38)</f>
        <v>1680</v>
      </c>
      <c r="I19" s="40" t="s">
        <v>24</v>
      </c>
      <c r="J19" s="29">
        <f>J11</f>
        <v>1680.0000000000002</v>
      </c>
    </row>
    <row r="20" spans="1:10" ht="18">
      <c r="A20" s="15" t="s">
        <v>9</v>
      </c>
      <c r="B20" s="16" t="s">
        <v>12</v>
      </c>
      <c r="C20" s="54">
        <v>5600</v>
      </c>
      <c r="D20" s="23">
        <v>4.0000000000000001E-3</v>
      </c>
      <c r="G20" s="39" t="s">
        <v>26</v>
      </c>
      <c r="H20" s="16">
        <f>SUMIF(A2:A38,I3,C2:C38)-SUMIF(B2:B38,I3,C2:C38)</f>
        <v>5600</v>
      </c>
      <c r="I20" s="40" t="s">
        <v>24</v>
      </c>
      <c r="J20" s="29">
        <f>J12</f>
        <v>5600</v>
      </c>
    </row>
    <row r="21" spans="1:10" ht="18">
      <c r="A21" s="15" t="s">
        <v>9</v>
      </c>
      <c r="B21" s="16" t="s">
        <v>13</v>
      </c>
      <c r="C21" s="54">
        <v>0</v>
      </c>
      <c r="D21" s="23">
        <v>4.4999999999999997E-3</v>
      </c>
      <c r="G21" s="39" t="s">
        <v>27</v>
      </c>
      <c r="H21" s="16">
        <f>SUMIF(A2:A38,G4,C2:C38)-SUMIF(B2:B38,G4,C2:C38)</f>
        <v>0</v>
      </c>
      <c r="I21" s="40" t="s">
        <v>24</v>
      </c>
      <c r="J21" s="29">
        <v>0</v>
      </c>
    </row>
    <row r="22" spans="1:10" ht="18">
      <c r="A22" s="15" t="s">
        <v>9</v>
      </c>
      <c r="B22" s="16" t="s">
        <v>14</v>
      </c>
      <c r="C22" s="54">
        <v>0</v>
      </c>
      <c r="D22" s="23">
        <v>5.0000000000000001E-3</v>
      </c>
      <c r="G22" s="39" t="s">
        <v>28</v>
      </c>
      <c r="H22" s="16">
        <f>SUMIF(A2:A38,H4,C2:C38)-SUMIF(B2:B38,H4,C2:C38)</f>
        <v>0</v>
      </c>
      <c r="I22" s="40" t="s">
        <v>24</v>
      </c>
      <c r="J22" s="29">
        <v>0</v>
      </c>
    </row>
    <row r="23" spans="1:10" ht="18">
      <c r="A23" s="15" t="s">
        <v>11</v>
      </c>
      <c r="B23" s="16" t="s">
        <v>10</v>
      </c>
      <c r="C23" s="54">
        <v>1680</v>
      </c>
      <c r="D23" s="23">
        <v>5.0000000000000001E-4</v>
      </c>
      <c r="G23" s="39" t="s">
        <v>29</v>
      </c>
      <c r="H23" s="16">
        <f>SUMIF(A2:A38,I4,C2:C38)-SUMIF(B2:B38,I4,C2:C38)</f>
        <v>0</v>
      </c>
      <c r="I23" s="40" t="s">
        <v>24</v>
      </c>
      <c r="J23" s="29">
        <v>0</v>
      </c>
    </row>
    <row r="24" spans="1:10" ht="18">
      <c r="A24" s="15" t="s">
        <v>11</v>
      </c>
      <c r="B24" s="16" t="s">
        <v>12</v>
      </c>
      <c r="C24" s="54">
        <v>0</v>
      </c>
      <c r="D24" s="23">
        <v>2E-3</v>
      </c>
      <c r="G24" s="39" t="s">
        <v>30</v>
      </c>
      <c r="H24" s="16">
        <f>SUMIF(A2:A38,J4,C2:C38)-SUMIF(B2:B38,J4,C2:C38)</f>
        <v>0</v>
      </c>
      <c r="I24" s="40" t="s">
        <v>24</v>
      </c>
      <c r="J24" s="29">
        <v>0</v>
      </c>
    </row>
    <row r="25" spans="1:10" ht="18">
      <c r="A25" s="15" t="s">
        <v>11</v>
      </c>
      <c r="B25" s="16" t="s">
        <v>13</v>
      </c>
      <c r="C25" s="54">
        <v>0</v>
      </c>
      <c r="D25" s="23">
        <v>1E-3</v>
      </c>
      <c r="G25" s="39" t="s">
        <v>31</v>
      </c>
      <c r="H25" s="16">
        <f>SUMIF(A2:A38,J3,C2:C38)-SUMIF(B2:B38,J3,C2:C38)</f>
        <v>-16880</v>
      </c>
      <c r="I25" s="40" t="s">
        <v>24</v>
      </c>
      <c r="J25" s="29">
        <f>-SUM(J10:J12)</f>
        <v>-16880</v>
      </c>
    </row>
    <row r="26" spans="1:10" ht="18">
      <c r="A26" s="15" t="s">
        <v>11</v>
      </c>
      <c r="B26" s="16" t="s">
        <v>14</v>
      </c>
      <c r="C26" s="54">
        <v>0</v>
      </c>
      <c r="D26" s="23">
        <v>1E-3</v>
      </c>
    </row>
    <row r="27" spans="1:10" ht="18">
      <c r="A27" s="15" t="s">
        <v>12</v>
      </c>
      <c r="B27" s="16" t="s">
        <v>10</v>
      </c>
      <c r="C27" s="54">
        <v>5600</v>
      </c>
      <c r="D27" s="23">
        <v>1E-3</v>
      </c>
    </row>
    <row r="28" spans="1:10" ht="18">
      <c r="A28" s="15" t="s">
        <v>12</v>
      </c>
      <c r="B28" s="16" t="s">
        <v>32</v>
      </c>
      <c r="C28" s="54">
        <v>0</v>
      </c>
      <c r="D28" s="23">
        <v>2E-3</v>
      </c>
    </row>
    <row r="29" spans="1:10" ht="18">
      <c r="A29" s="15" t="s">
        <v>12</v>
      </c>
      <c r="B29" s="16" t="s">
        <v>13</v>
      </c>
      <c r="C29" s="54">
        <v>0</v>
      </c>
      <c r="D29" s="23">
        <v>5.0000000000000001E-4</v>
      </c>
    </row>
    <row r="30" spans="1:10" ht="18">
      <c r="A30" s="15" t="s">
        <v>12</v>
      </c>
      <c r="B30" s="16" t="s">
        <v>14</v>
      </c>
      <c r="C30" s="54">
        <v>0</v>
      </c>
      <c r="D30" s="23">
        <v>5.0000000000000001E-3</v>
      </c>
    </row>
    <row r="31" spans="1:10" ht="18">
      <c r="A31" s="15" t="s">
        <v>13</v>
      </c>
      <c r="B31" s="16" t="s">
        <v>10</v>
      </c>
      <c r="C31" s="54">
        <v>9600</v>
      </c>
      <c r="D31" s="23">
        <v>1E-3</v>
      </c>
    </row>
    <row r="32" spans="1:10" ht="18">
      <c r="A32" s="15" t="s">
        <v>13</v>
      </c>
      <c r="B32" s="16" t="s">
        <v>32</v>
      </c>
      <c r="C32" s="54">
        <v>0</v>
      </c>
      <c r="D32" s="23">
        <v>1E-3</v>
      </c>
    </row>
    <row r="33" spans="1:4" ht="18">
      <c r="A33" s="15" t="s">
        <v>13</v>
      </c>
      <c r="B33" s="16" t="s">
        <v>12</v>
      </c>
      <c r="C33" s="54">
        <v>0</v>
      </c>
      <c r="D33" s="23">
        <v>5.0000000000000001E-4</v>
      </c>
    </row>
    <row r="34" spans="1:4" ht="18">
      <c r="A34" s="15" t="s">
        <v>13</v>
      </c>
      <c r="B34" s="16" t="s">
        <v>14</v>
      </c>
      <c r="C34" s="54">
        <v>0</v>
      </c>
      <c r="D34" s="23">
        <v>5.0000000000000001E-3</v>
      </c>
    </row>
    <row r="35" spans="1:4" ht="18">
      <c r="A35" s="15" t="s">
        <v>14</v>
      </c>
      <c r="B35" s="16" t="s">
        <v>10</v>
      </c>
      <c r="C35" s="54">
        <v>0</v>
      </c>
      <c r="D35" s="23">
        <v>1E-3</v>
      </c>
    </row>
    <row r="36" spans="1:4" ht="18">
      <c r="A36" s="15" t="s">
        <v>14</v>
      </c>
      <c r="B36" s="16" t="s">
        <v>32</v>
      </c>
      <c r="C36" s="54">
        <v>0</v>
      </c>
      <c r="D36" s="23">
        <v>1E-3</v>
      </c>
    </row>
    <row r="37" spans="1:4" ht="18">
      <c r="A37" s="15" t="s">
        <v>14</v>
      </c>
      <c r="B37" s="16" t="s">
        <v>12</v>
      </c>
      <c r="C37" s="54">
        <v>0</v>
      </c>
      <c r="D37" s="23">
        <v>5.0000000000000001E-3</v>
      </c>
    </row>
    <row r="38" spans="1:4" ht="18">
      <c r="A38" s="19" t="s">
        <v>14</v>
      </c>
      <c r="B38" s="20" t="s">
        <v>13</v>
      </c>
      <c r="C38" s="31">
        <v>0</v>
      </c>
      <c r="D38" s="34">
        <v>5.0000000000000001E-3</v>
      </c>
    </row>
    <row r="41" spans="1:4">
      <c r="B41" s="92" t="s">
        <v>129</v>
      </c>
      <c r="C41" s="22">
        <f>SUMPRODUCT(D1:D37,C1:C37)</f>
        <v>92.679999999999993</v>
      </c>
    </row>
    <row r="54" spans="7:7">
      <c r="G54" s="46"/>
    </row>
  </sheetData>
  <phoneticPr fontId="1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4"/>
  <sheetViews>
    <sheetView showGridLines="0" workbookViewId="0">
      <pane ySplit="1" topLeftCell="A19" activePane="bottomLeft" state="frozen"/>
      <selection pane="bottomLeft" activeCell="B41" sqref="B41"/>
    </sheetView>
  </sheetViews>
  <sheetFormatPr baseColWidth="10" defaultColWidth="9" defaultRowHeight="14"/>
  <cols>
    <col min="1" max="1" width="11.83203125" style="12" customWidth="1"/>
    <col min="2" max="2" width="12.1640625" style="12" customWidth="1"/>
    <col min="3" max="3" width="15.33203125" style="12" customWidth="1"/>
    <col min="4" max="6" width="9" style="12"/>
    <col min="7" max="7" width="17.33203125" style="12" customWidth="1"/>
    <col min="8" max="8" width="11.33203125" style="12" customWidth="1"/>
    <col min="9" max="9" width="18.33203125" style="12" customWidth="1"/>
    <col min="10" max="10" width="18.6640625" style="12" customWidth="1"/>
    <col min="11" max="16384" width="9" style="12"/>
  </cols>
  <sheetData>
    <row r="1" spans="1:10" ht="38">
      <c r="A1" s="13" t="s">
        <v>33</v>
      </c>
      <c r="B1" s="13" t="s">
        <v>34</v>
      </c>
      <c r="C1" s="26" t="s">
        <v>2</v>
      </c>
      <c r="D1" s="13" t="s">
        <v>35</v>
      </c>
    </row>
    <row r="2" spans="1:10" ht="18">
      <c r="A2" s="15" t="s">
        <v>5</v>
      </c>
      <c r="B2" s="16" t="s">
        <v>6</v>
      </c>
      <c r="C2" s="54">
        <v>0</v>
      </c>
      <c r="D2" s="55">
        <v>0.03</v>
      </c>
      <c r="G2" s="13" t="s">
        <v>8</v>
      </c>
      <c r="H2" s="13"/>
      <c r="I2" s="13"/>
      <c r="J2" s="13"/>
    </row>
    <row r="3" spans="1:10" ht="18">
      <c r="A3" s="15" t="s">
        <v>5</v>
      </c>
      <c r="B3" s="16" t="s">
        <v>9</v>
      </c>
      <c r="C3" s="54">
        <v>0</v>
      </c>
      <c r="D3" s="23">
        <v>5.0000000000000001E-3</v>
      </c>
      <c r="G3" s="15" t="s">
        <v>5</v>
      </c>
      <c r="H3" s="15" t="s">
        <v>6</v>
      </c>
      <c r="I3" s="15" t="s">
        <v>9</v>
      </c>
      <c r="J3" s="15" t="s">
        <v>10</v>
      </c>
    </row>
    <row r="4" spans="1:10" ht="18">
      <c r="A4" s="15" t="s">
        <v>5</v>
      </c>
      <c r="B4" s="16" t="s">
        <v>10</v>
      </c>
      <c r="C4" s="54">
        <v>0</v>
      </c>
      <c r="D4" s="23">
        <v>4.0000000000000001E-3</v>
      </c>
      <c r="G4" s="15" t="s">
        <v>11</v>
      </c>
      <c r="H4" s="15" t="s">
        <v>12</v>
      </c>
      <c r="I4" s="15" t="s">
        <v>13</v>
      </c>
      <c r="J4" s="15" t="s">
        <v>14</v>
      </c>
    </row>
    <row r="5" spans="1:10" ht="18">
      <c r="A5" s="15" t="s">
        <v>5</v>
      </c>
      <c r="B5" s="16" t="s">
        <v>11</v>
      </c>
      <c r="C5" s="54">
        <v>0</v>
      </c>
      <c r="D5" s="23">
        <v>4.0000000000000001E-3</v>
      </c>
      <c r="G5" s="35"/>
      <c r="H5" s="36"/>
    </row>
    <row r="6" spans="1:10" ht="18">
      <c r="A6" s="15" t="s">
        <v>5</v>
      </c>
      <c r="B6" s="16" t="s">
        <v>12</v>
      </c>
      <c r="C6" s="54">
        <v>0</v>
      </c>
      <c r="D6" s="23">
        <v>4.0000000000000001E-3</v>
      </c>
    </row>
    <row r="7" spans="1:10" ht="18">
      <c r="A7" s="15" t="s">
        <v>5</v>
      </c>
      <c r="B7" s="16" t="s">
        <v>13</v>
      </c>
      <c r="C7" s="54">
        <v>9600</v>
      </c>
      <c r="D7" s="23">
        <v>2.5000000000000001E-3</v>
      </c>
    </row>
    <row r="8" spans="1:10" ht="18">
      <c r="A8" s="15" t="s">
        <v>5</v>
      </c>
      <c r="B8" s="16" t="s">
        <v>14</v>
      </c>
      <c r="C8" s="54">
        <v>0</v>
      </c>
      <c r="D8" s="23">
        <v>5.0000000000000001E-3</v>
      </c>
      <c r="G8" s="13" t="s">
        <v>15</v>
      </c>
      <c r="H8" s="13"/>
      <c r="I8" s="13"/>
      <c r="J8" s="13"/>
    </row>
    <row r="9" spans="1:10" ht="18">
      <c r="A9" s="15" t="s">
        <v>6</v>
      </c>
      <c r="B9" s="16" t="s">
        <v>5</v>
      </c>
      <c r="C9" s="54">
        <v>0</v>
      </c>
      <c r="D9" s="55">
        <v>0.03</v>
      </c>
      <c r="G9" s="13" t="s">
        <v>8</v>
      </c>
      <c r="H9" s="13" t="s">
        <v>16</v>
      </c>
      <c r="I9" s="13" t="s">
        <v>17</v>
      </c>
      <c r="J9" s="13" t="s">
        <v>18</v>
      </c>
    </row>
    <row r="10" spans="1:10" ht="18">
      <c r="A10" s="15" t="s">
        <v>6</v>
      </c>
      <c r="B10" s="16" t="s">
        <v>9</v>
      </c>
      <c r="C10" s="54">
        <v>0</v>
      </c>
      <c r="D10" s="55">
        <v>4.2000000000000003E-2</v>
      </c>
      <c r="G10" s="37" t="s">
        <v>5</v>
      </c>
      <c r="H10" s="15">
        <v>1200000</v>
      </c>
      <c r="I10" s="15">
        <v>8.0000000000000002E-3</v>
      </c>
      <c r="J10" s="15">
        <f>H10*I10</f>
        <v>9600</v>
      </c>
    </row>
    <row r="11" spans="1:10" ht="18">
      <c r="A11" s="15" t="s">
        <v>6</v>
      </c>
      <c r="B11" s="16" t="s">
        <v>10</v>
      </c>
      <c r="C11" s="54">
        <v>0</v>
      </c>
      <c r="D11" s="55">
        <v>0.03</v>
      </c>
      <c r="G11" s="37" t="s">
        <v>6</v>
      </c>
      <c r="H11" s="15">
        <v>10500000</v>
      </c>
      <c r="I11" s="15">
        <v>1.6000000000000001E-4</v>
      </c>
      <c r="J11" s="15">
        <f>H11*I11</f>
        <v>1680.0000000000002</v>
      </c>
    </row>
    <row r="12" spans="1:10" ht="18">
      <c r="A12" s="15" t="s">
        <v>6</v>
      </c>
      <c r="B12" s="16" t="s">
        <v>11</v>
      </c>
      <c r="C12" s="54">
        <v>1680</v>
      </c>
      <c r="D12" s="55">
        <v>1.7999999999999999E-2</v>
      </c>
      <c r="G12" s="37" t="s">
        <v>9</v>
      </c>
      <c r="H12" s="15">
        <v>28000</v>
      </c>
      <c r="I12" s="15">
        <v>0.2</v>
      </c>
      <c r="J12" s="15">
        <f>H12*I12</f>
        <v>5600</v>
      </c>
    </row>
    <row r="13" spans="1:10" ht="18">
      <c r="A13" s="15" t="s">
        <v>6</v>
      </c>
      <c r="B13" s="16" t="s">
        <v>12</v>
      </c>
      <c r="C13" s="54">
        <v>0</v>
      </c>
      <c r="D13" s="55">
        <v>1.7999999999999999E-2</v>
      </c>
    </row>
    <row r="14" spans="1:10" ht="18">
      <c r="A14" s="15" t="s">
        <v>6</v>
      </c>
      <c r="B14" s="16" t="s">
        <v>13</v>
      </c>
      <c r="C14" s="54">
        <v>0</v>
      </c>
      <c r="D14" s="55">
        <v>4.4999999999999998E-2</v>
      </c>
    </row>
    <row r="15" spans="1:10" ht="18">
      <c r="A15" s="15" t="s">
        <v>6</v>
      </c>
      <c r="B15" s="16" t="s">
        <v>14</v>
      </c>
      <c r="C15" s="54">
        <v>0</v>
      </c>
      <c r="D15" s="55">
        <v>4.4999999999999998E-2</v>
      </c>
    </row>
    <row r="16" spans="1:10" ht="18">
      <c r="A16" s="15" t="s">
        <v>9</v>
      </c>
      <c r="B16" s="16" t="s">
        <v>5</v>
      </c>
      <c r="C16" s="54">
        <v>0</v>
      </c>
      <c r="D16" s="23">
        <v>5.0000000000000001E-3</v>
      </c>
      <c r="G16" s="38" t="s">
        <v>19</v>
      </c>
      <c r="H16" s="13" t="s">
        <v>20</v>
      </c>
      <c r="I16" s="13"/>
      <c r="J16" s="13" t="s">
        <v>21</v>
      </c>
    </row>
    <row r="17" spans="1:10" ht="18">
      <c r="A17" s="15" t="s">
        <v>9</v>
      </c>
      <c r="B17" s="16" t="s">
        <v>6</v>
      </c>
      <c r="C17" s="54">
        <v>0</v>
      </c>
      <c r="D17" s="55">
        <v>4.2000000000000003E-2</v>
      </c>
      <c r="G17" s="38"/>
      <c r="H17" s="13" t="s">
        <v>22</v>
      </c>
      <c r="I17" s="13"/>
      <c r="J17" s="13" t="s">
        <v>22</v>
      </c>
    </row>
    <row r="18" spans="1:10" ht="18">
      <c r="A18" s="15" t="s">
        <v>9</v>
      </c>
      <c r="B18" s="16" t="s">
        <v>10</v>
      </c>
      <c r="C18" s="54">
        <v>0</v>
      </c>
      <c r="D18" s="23">
        <v>7.0000000000000001E-3</v>
      </c>
      <c r="G18" s="39" t="s">
        <v>23</v>
      </c>
      <c r="H18" s="16">
        <f>SUMIF(A2:A38,G3,C2:C38)-SUMIF(B2:B38,G3,C2:C38)</f>
        <v>9600</v>
      </c>
      <c r="I18" s="40" t="s">
        <v>24</v>
      </c>
      <c r="J18" s="29">
        <f>J10</f>
        <v>9600</v>
      </c>
    </row>
    <row r="19" spans="1:10" ht="18">
      <c r="A19" s="15" t="s">
        <v>9</v>
      </c>
      <c r="B19" s="16" t="s">
        <v>11</v>
      </c>
      <c r="C19" s="54">
        <v>0</v>
      </c>
      <c r="D19" s="23">
        <v>7.0000000000000001E-3</v>
      </c>
      <c r="G19" s="39" t="s">
        <v>25</v>
      </c>
      <c r="H19" s="16">
        <f>SUMIF(A2:A38,H3,C2:C38)-SUMIF(B2:B38,H3,C2:C38)</f>
        <v>1680</v>
      </c>
      <c r="I19" s="40" t="s">
        <v>24</v>
      </c>
      <c r="J19" s="29">
        <f>J11</f>
        <v>1680.0000000000002</v>
      </c>
    </row>
    <row r="20" spans="1:10" ht="18">
      <c r="A20" s="15" t="s">
        <v>9</v>
      </c>
      <c r="B20" s="16" t="s">
        <v>12</v>
      </c>
      <c r="C20" s="54">
        <v>5600</v>
      </c>
      <c r="D20" s="23">
        <v>4.0000000000000001E-3</v>
      </c>
      <c r="G20" s="39" t="s">
        <v>26</v>
      </c>
      <c r="H20" s="16">
        <f>SUMIF(A2:A38,I3,C2:C38)-SUMIF(B2:B38,I3,C2:C38)</f>
        <v>5600</v>
      </c>
      <c r="I20" s="40" t="s">
        <v>24</v>
      </c>
      <c r="J20" s="29">
        <f>J12</f>
        <v>5600</v>
      </c>
    </row>
    <row r="21" spans="1:10" ht="18">
      <c r="A21" s="15" t="s">
        <v>9</v>
      </c>
      <c r="B21" s="16" t="s">
        <v>13</v>
      </c>
      <c r="C21" s="54">
        <v>0</v>
      </c>
      <c r="D21" s="23">
        <v>4.4999999999999997E-3</v>
      </c>
      <c r="G21" s="39" t="s">
        <v>27</v>
      </c>
      <c r="H21" s="16">
        <f>SUMIF(A2:A38,G4,C2:C38)-SUMIF(B2:B38,G4,C2:C38)</f>
        <v>0</v>
      </c>
      <c r="I21" s="40" t="s">
        <v>24</v>
      </c>
      <c r="J21" s="29">
        <v>0</v>
      </c>
    </row>
    <row r="22" spans="1:10" ht="18">
      <c r="A22" s="15" t="s">
        <v>9</v>
      </c>
      <c r="B22" s="16" t="s">
        <v>14</v>
      </c>
      <c r="C22" s="54">
        <v>0</v>
      </c>
      <c r="D22" s="23">
        <v>5.0000000000000001E-3</v>
      </c>
      <c r="G22" s="39" t="s">
        <v>28</v>
      </c>
      <c r="H22" s="16">
        <f>SUMIF(A2:A38,H4,C2:C38)-SUMIF(B2:B38,H4,C2:C38)</f>
        <v>0</v>
      </c>
      <c r="I22" s="40" t="s">
        <v>24</v>
      </c>
      <c r="J22" s="29">
        <v>0</v>
      </c>
    </row>
    <row r="23" spans="1:10" ht="18">
      <c r="A23" s="15" t="s">
        <v>11</v>
      </c>
      <c r="B23" s="16" t="s">
        <v>10</v>
      </c>
      <c r="C23" s="54">
        <v>1680</v>
      </c>
      <c r="D23" s="23">
        <v>5.0000000000000001E-4</v>
      </c>
      <c r="G23" s="39" t="s">
        <v>29</v>
      </c>
      <c r="H23" s="16">
        <f>SUMIF(A2:A38,I4,C2:C38)-SUMIF(B2:B38,I4,C2:C38)</f>
        <v>0</v>
      </c>
      <c r="I23" s="40" t="s">
        <v>24</v>
      </c>
      <c r="J23" s="29">
        <v>0</v>
      </c>
    </row>
    <row r="24" spans="1:10" ht="18">
      <c r="A24" s="15" t="s">
        <v>11</v>
      </c>
      <c r="B24" s="16" t="s">
        <v>12</v>
      </c>
      <c r="C24" s="54">
        <v>0</v>
      </c>
      <c r="D24" s="23">
        <v>2E-3</v>
      </c>
      <c r="G24" s="39" t="s">
        <v>30</v>
      </c>
      <c r="H24" s="16">
        <f>SUMIF(A2:A38,J4,C2:C38)-SUMIF(B2:B38,J4,C2:C38)</f>
        <v>0</v>
      </c>
      <c r="I24" s="40" t="s">
        <v>24</v>
      </c>
      <c r="J24" s="29">
        <v>0</v>
      </c>
    </row>
    <row r="25" spans="1:10" ht="18">
      <c r="A25" s="15" t="s">
        <v>11</v>
      </c>
      <c r="B25" s="16" t="s">
        <v>13</v>
      </c>
      <c r="C25" s="54">
        <v>0</v>
      </c>
      <c r="D25" s="23">
        <v>1E-3</v>
      </c>
      <c r="G25" s="39" t="s">
        <v>31</v>
      </c>
      <c r="H25" s="16">
        <f>SUMIF(A2:A38,J3,C2:C38)-SUMIF(B2:B38,J3,C2:C38)</f>
        <v>-16880</v>
      </c>
      <c r="I25" s="40" t="s">
        <v>24</v>
      </c>
      <c r="J25" s="29">
        <f>-SUM(J10:J12)</f>
        <v>-16880</v>
      </c>
    </row>
    <row r="26" spans="1:10" ht="18">
      <c r="A26" s="15" t="s">
        <v>11</v>
      </c>
      <c r="B26" s="16" t="s">
        <v>14</v>
      </c>
      <c r="C26" s="54">
        <v>0</v>
      </c>
      <c r="D26" s="23">
        <v>1E-3</v>
      </c>
    </row>
    <row r="27" spans="1:10" ht="18">
      <c r="A27" s="15" t="s">
        <v>12</v>
      </c>
      <c r="B27" s="16" t="s">
        <v>10</v>
      </c>
      <c r="C27" s="54">
        <v>5600</v>
      </c>
      <c r="D27" s="23">
        <v>1E-3</v>
      </c>
    </row>
    <row r="28" spans="1:10" ht="18">
      <c r="A28" s="15" t="s">
        <v>12</v>
      </c>
      <c r="B28" s="16" t="s">
        <v>32</v>
      </c>
      <c r="C28" s="54">
        <v>0</v>
      </c>
      <c r="D28" s="23">
        <v>2E-3</v>
      </c>
    </row>
    <row r="29" spans="1:10" ht="18">
      <c r="A29" s="15" t="s">
        <v>12</v>
      </c>
      <c r="B29" s="16" t="s">
        <v>13</v>
      </c>
      <c r="C29" s="54">
        <v>0</v>
      </c>
      <c r="D29" s="23">
        <v>5.0000000000000001E-4</v>
      </c>
    </row>
    <row r="30" spans="1:10" ht="18">
      <c r="A30" s="15" t="s">
        <v>12</v>
      </c>
      <c r="B30" s="16" t="s">
        <v>14</v>
      </c>
      <c r="C30" s="54">
        <v>0</v>
      </c>
      <c r="D30" s="23">
        <v>5.0000000000000001E-3</v>
      </c>
    </row>
    <row r="31" spans="1:10" ht="18">
      <c r="A31" s="15" t="s">
        <v>13</v>
      </c>
      <c r="B31" s="16" t="s">
        <v>10</v>
      </c>
      <c r="C31" s="54">
        <v>9600</v>
      </c>
      <c r="D31" s="23">
        <v>1E-3</v>
      </c>
    </row>
    <row r="32" spans="1:10" ht="18">
      <c r="A32" s="15" t="s">
        <v>13</v>
      </c>
      <c r="B32" s="16" t="s">
        <v>32</v>
      </c>
      <c r="C32" s="54">
        <v>0</v>
      </c>
      <c r="D32" s="23">
        <v>1E-3</v>
      </c>
    </row>
    <row r="33" spans="1:4" ht="18">
      <c r="A33" s="15" t="s">
        <v>13</v>
      </c>
      <c r="B33" s="16" t="s">
        <v>12</v>
      </c>
      <c r="C33" s="54">
        <v>0</v>
      </c>
      <c r="D33" s="23">
        <v>5.0000000000000001E-4</v>
      </c>
    </row>
    <row r="34" spans="1:4" ht="18">
      <c r="A34" s="15" t="s">
        <v>13</v>
      </c>
      <c r="B34" s="16" t="s">
        <v>14</v>
      </c>
      <c r="C34" s="54">
        <v>0</v>
      </c>
      <c r="D34" s="23">
        <v>5.0000000000000001E-3</v>
      </c>
    </row>
    <row r="35" spans="1:4" ht="18">
      <c r="A35" s="15" t="s">
        <v>14</v>
      </c>
      <c r="B35" s="16" t="s">
        <v>10</v>
      </c>
      <c r="C35" s="54">
        <v>0</v>
      </c>
      <c r="D35" s="23">
        <v>1E-3</v>
      </c>
    </row>
    <row r="36" spans="1:4" ht="18">
      <c r="A36" s="15" t="s">
        <v>14</v>
      </c>
      <c r="B36" s="16" t="s">
        <v>32</v>
      </c>
      <c r="C36" s="54">
        <v>0</v>
      </c>
      <c r="D36" s="23">
        <v>1E-3</v>
      </c>
    </row>
    <row r="37" spans="1:4" ht="18">
      <c r="A37" s="15" t="s">
        <v>14</v>
      </c>
      <c r="B37" s="16" t="s">
        <v>12</v>
      </c>
      <c r="C37" s="54">
        <v>0</v>
      </c>
      <c r="D37" s="23">
        <v>5.0000000000000001E-3</v>
      </c>
    </row>
    <row r="38" spans="1:4" ht="18">
      <c r="A38" s="19" t="s">
        <v>14</v>
      </c>
      <c r="B38" s="20" t="s">
        <v>13</v>
      </c>
      <c r="C38" s="31">
        <v>0</v>
      </c>
      <c r="D38" s="34">
        <v>5.0000000000000001E-3</v>
      </c>
    </row>
    <row r="41" spans="1:4">
      <c r="B41" s="92" t="s">
        <v>129</v>
      </c>
      <c r="C41" s="22">
        <f>SUMPRODUCT(D1:D37,C1:C37)</f>
        <v>92.679999999999993</v>
      </c>
    </row>
    <row r="54" spans="7:7">
      <c r="G54" s="46"/>
    </row>
  </sheetData>
  <phoneticPr fontId="1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3"/>
  <sheetViews>
    <sheetView showGridLines="0" zoomScale="90" zoomScaleNormal="90" workbookViewId="0">
      <pane ySplit="1" topLeftCell="A8" activePane="bottomLeft" state="frozen"/>
      <selection pane="bottomLeft" activeCell="B41" sqref="B41"/>
    </sheetView>
  </sheetViews>
  <sheetFormatPr baseColWidth="10" defaultColWidth="9" defaultRowHeight="14"/>
  <cols>
    <col min="1" max="1" width="11.83203125" style="12" customWidth="1"/>
    <col min="2" max="2" width="12.1640625" style="12" customWidth="1"/>
    <col min="3" max="3" width="15.33203125" style="12" customWidth="1"/>
    <col min="4" max="8" width="9" style="12"/>
    <col min="9" max="9" width="17.33203125" style="12" customWidth="1"/>
    <col min="10" max="10" width="11.33203125" style="12" customWidth="1"/>
    <col min="11" max="11" width="18.33203125" style="12" customWidth="1"/>
    <col min="12" max="12" width="18.6640625" style="12" customWidth="1"/>
    <col min="13" max="17" width="17.1640625" style="12" customWidth="1"/>
    <col min="18" max="16384" width="9" style="12"/>
  </cols>
  <sheetData>
    <row r="1" spans="1:12" ht="38">
      <c r="A1" s="13" t="s">
        <v>33</v>
      </c>
      <c r="B1" s="13" t="s">
        <v>34</v>
      </c>
      <c r="C1" s="26" t="s">
        <v>2</v>
      </c>
      <c r="D1" s="67" t="s">
        <v>3</v>
      </c>
      <c r="E1" s="67"/>
      <c r="F1" s="13" t="s">
        <v>35</v>
      </c>
    </row>
    <row r="2" spans="1:12" ht="18">
      <c r="A2" s="15" t="s">
        <v>5</v>
      </c>
      <c r="B2" s="16" t="s">
        <v>6</v>
      </c>
      <c r="C2" s="27">
        <v>0</v>
      </c>
      <c r="D2" s="28" t="s">
        <v>7</v>
      </c>
      <c r="E2" s="29">
        <v>5000</v>
      </c>
      <c r="F2" s="23">
        <v>5.0000000000000001E-3</v>
      </c>
      <c r="I2" s="13" t="s">
        <v>8</v>
      </c>
      <c r="J2" s="13"/>
      <c r="K2" s="13"/>
      <c r="L2" s="13"/>
    </row>
    <row r="3" spans="1:12" ht="18">
      <c r="A3" s="15" t="s">
        <v>5</v>
      </c>
      <c r="B3" s="16" t="s">
        <v>9</v>
      </c>
      <c r="C3" s="27">
        <v>0</v>
      </c>
      <c r="D3" s="28" t="s">
        <v>7</v>
      </c>
      <c r="E3" s="29">
        <v>5000</v>
      </c>
      <c r="F3" s="23">
        <v>5.0000000000000001E-3</v>
      </c>
      <c r="I3" s="15" t="s">
        <v>5</v>
      </c>
      <c r="J3" s="15" t="s">
        <v>6</v>
      </c>
      <c r="K3" s="15" t="s">
        <v>9</v>
      </c>
      <c r="L3" s="15" t="s">
        <v>10</v>
      </c>
    </row>
    <row r="4" spans="1:12" ht="18">
      <c r="A4" s="15" t="s">
        <v>5</v>
      </c>
      <c r="B4" s="16" t="s">
        <v>10</v>
      </c>
      <c r="C4" s="27">
        <v>2000</v>
      </c>
      <c r="D4" s="28" t="s">
        <v>7</v>
      </c>
      <c r="E4" s="29">
        <v>2000</v>
      </c>
      <c r="F4" s="23">
        <v>4.0000000000000001E-3</v>
      </c>
      <c r="I4" s="15" t="s">
        <v>11</v>
      </c>
      <c r="J4" s="15" t="s">
        <v>12</v>
      </c>
      <c r="K4" s="15" t="s">
        <v>13</v>
      </c>
      <c r="L4" s="15" t="s">
        <v>14</v>
      </c>
    </row>
    <row r="5" spans="1:12" ht="18">
      <c r="A5" s="15" t="s">
        <v>5</v>
      </c>
      <c r="B5" s="16" t="s">
        <v>11</v>
      </c>
      <c r="C5" s="27">
        <v>1800</v>
      </c>
      <c r="D5" s="28" t="s">
        <v>7</v>
      </c>
      <c r="E5" s="29">
        <v>2000</v>
      </c>
      <c r="F5" s="23">
        <v>4.0000000000000001E-3</v>
      </c>
      <c r="I5" s="35"/>
      <c r="J5" s="36"/>
    </row>
    <row r="6" spans="1:12" ht="18">
      <c r="A6" s="15" t="s">
        <v>5</v>
      </c>
      <c r="B6" s="16" t="s">
        <v>12</v>
      </c>
      <c r="C6" s="27">
        <v>2000</v>
      </c>
      <c r="D6" s="28" t="s">
        <v>7</v>
      </c>
      <c r="E6" s="29">
        <v>2000</v>
      </c>
      <c r="F6" s="23">
        <v>4.0000000000000001E-3</v>
      </c>
    </row>
    <row r="7" spans="1:12" ht="18">
      <c r="A7" s="15" t="s">
        <v>5</v>
      </c>
      <c r="B7" s="16" t="s">
        <v>13</v>
      </c>
      <c r="C7" s="27">
        <v>2000</v>
      </c>
      <c r="D7" s="28" t="s">
        <v>7</v>
      </c>
      <c r="E7" s="29">
        <v>2000</v>
      </c>
      <c r="F7" s="23">
        <v>2.5000000000000001E-3</v>
      </c>
    </row>
    <row r="8" spans="1:12" ht="18">
      <c r="A8" s="15" t="s">
        <v>5</v>
      </c>
      <c r="B8" s="16" t="s">
        <v>14</v>
      </c>
      <c r="C8" s="27">
        <v>1800</v>
      </c>
      <c r="D8" s="28" t="s">
        <v>7</v>
      </c>
      <c r="E8" s="29">
        <v>4000</v>
      </c>
      <c r="F8" s="23">
        <v>5.0000000000000001E-3</v>
      </c>
      <c r="I8" s="13" t="s">
        <v>15</v>
      </c>
      <c r="J8" s="13"/>
      <c r="K8" s="13"/>
      <c r="L8" s="13"/>
    </row>
    <row r="9" spans="1:12" ht="18">
      <c r="A9" s="15" t="s">
        <v>6</v>
      </c>
      <c r="B9" s="16" t="s">
        <v>5</v>
      </c>
      <c r="C9" s="27">
        <v>0</v>
      </c>
      <c r="D9" s="28" t="s">
        <v>7</v>
      </c>
      <c r="E9" s="29">
        <v>5000</v>
      </c>
      <c r="F9" s="23">
        <v>5.0000000000000001E-3</v>
      </c>
      <c r="I9" s="13" t="s">
        <v>8</v>
      </c>
      <c r="J9" s="13" t="s">
        <v>16</v>
      </c>
      <c r="K9" s="13" t="s">
        <v>17</v>
      </c>
      <c r="L9" s="13" t="s">
        <v>18</v>
      </c>
    </row>
    <row r="10" spans="1:12" ht="18">
      <c r="A10" s="15" t="s">
        <v>6</v>
      </c>
      <c r="B10" s="16" t="s">
        <v>9</v>
      </c>
      <c r="C10" s="27">
        <v>0</v>
      </c>
      <c r="D10" s="28" t="s">
        <v>7</v>
      </c>
      <c r="E10" s="29">
        <v>2000</v>
      </c>
      <c r="F10" s="23">
        <v>7.0000000000000001E-3</v>
      </c>
      <c r="I10" s="37" t="s">
        <v>5</v>
      </c>
      <c r="J10" s="15">
        <v>1200000</v>
      </c>
      <c r="K10" s="15">
        <v>8.0000000000000002E-3</v>
      </c>
      <c r="L10" s="15">
        <f>J10*K10</f>
        <v>9600</v>
      </c>
    </row>
    <row r="11" spans="1:12" ht="18">
      <c r="A11" s="15" t="s">
        <v>6</v>
      </c>
      <c r="B11" s="16" t="s">
        <v>10</v>
      </c>
      <c r="C11" s="27">
        <v>200</v>
      </c>
      <c r="D11" s="28" t="s">
        <v>7</v>
      </c>
      <c r="E11" s="29">
        <v>200</v>
      </c>
      <c r="F11" s="23">
        <v>5.0000000000000001E-3</v>
      </c>
      <c r="I11" s="37" t="s">
        <v>6</v>
      </c>
      <c r="J11" s="15">
        <v>10500000</v>
      </c>
      <c r="K11" s="15">
        <v>1.6000000000000001E-4</v>
      </c>
      <c r="L11" s="15">
        <f>J11*K11</f>
        <v>1680.0000000000002</v>
      </c>
    </row>
    <row r="12" spans="1:12" ht="18">
      <c r="A12" s="15" t="s">
        <v>6</v>
      </c>
      <c r="B12" s="16" t="s">
        <v>11</v>
      </c>
      <c r="C12" s="27">
        <v>200</v>
      </c>
      <c r="D12" s="28" t="s">
        <v>7</v>
      </c>
      <c r="E12" s="29">
        <v>200</v>
      </c>
      <c r="F12" s="23">
        <v>3.0000000000000001E-3</v>
      </c>
      <c r="I12" s="37" t="s">
        <v>9</v>
      </c>
      <c r="J12" s="15">
        <v>28000</v>
      </c>
      <c r="K12" s="15">
        <v>0.2</v>
      </c>
      <c r="L12" s="15">
        <f>J12*K12</f>
        <v>5600</v>
      </c>
    </row>
    <row r="13" spans="1:12" ht="18">
      <c r="A13" s="15" t="s">
        <v>6</v>
      </c>
      <c r="B13" s="16" t="s">
        <v>12</v>
      </c>
      <c r="C13" s="27">
        <v>1000</v>
      </c>
      <c r="D13" s="28" t="s">
        <v>7</v>
      </c>
      <c r="E13" s="29">
        <v>1000</v>
      </c>
      <c r="F13" s="23">
        <v>3.0000000000000001E-3</v>
      </c>
    </row>
    <row r="14" spans="1:12" ht="18">
      <c r="A14" s="15" t="s">
        <v>6</v>
      </c>
      <c r="B14" s="16" t="s">
        <v>13</v>
      </c>
      <c r="C14" s="27">
        <v>80.000000000000227</v>
      </c>
      <c r="D14" s="28" t="s">
        <v>7</v>
      </c>
      <c r="E14" s="29">
        <v>500</v>
      </c>
      <c r="F14" s="23">
        <v>7.4999999999999997E-3</v>
      </c>
    </row>
    <row r="15" spans="1:12" ht="18">
      <c r="A15" s="15" t="s">
        <v>6</v>
      </c>
      <c r="B15" s="16" t="s">
        <v>14</v>
      </c>
      <c r="C15" s="27">
        <v>200</v>
      </c>
      <c r="D15" s="28" t="s">
        <v>7</v>
      </c>
      <c r="E15" s="29">
        <v>200</v>
      </c>
      <c r="F15" s="23">
        <v>7.4999999999999997E-3</v>
      </c>
    </row>
    <row r="16" spans="1:12" ht="18">
      <c r="A16" s="15" t="s">
        <v>9</v>
      </c>
      <c r="B16" s="16" t="s">
        <v>5</v>
      </c>
      <c r="C16" s="27">
        <v>0</v>
      </c>
      <c r="D16" s="28" t="s">
        <v>7</v>
      </c>
      <c r="E16" s="29">
        <v>3000</v>
      </c>
      <c r="F16" s="23">
        <v>5.0000000000000001E-3</v>
      </c>
      <c r="I16" s="38" t="s">
        <v>19</v>
      </c>
      <c r="J16" s="13" t="s">
        <v>20</v>
      </c>
      <c r="K16" s="13"/>
      <c r="L16" s="13" t="s">
        <v>21</v>
      </c>
    </row>
    <row r="17" spans="1:17" ht="18">
      <c r="A17" s="15" t="s">
        <v>9</v>
      </c>
      <c r="B17" s="16" t="s">
        <v>6</v>
      </c>
      <c r="C17" s="27">
        <v>0</v>
      </c>
      <c r="D17" s="28" t="s">
        <v>7</v>
      </c>
      <c r="E17" s="29">
        <v>4500</v>
      </c>
      <c r="F17" s="23">
        <v>7.0000000000000001E-3</v>
      </c>
      <c r="I17" s="38"/>
      <c r="J17" s="13" t="s">
        <v>22</v>
      </c>
      <c r="K17" s="13"/>
      <c r="L17" s="13" t="s">
        <v>22</v>
      </c>
    </row>
    <row r="18" spans="1:17" ht="18">
      <c r="A18" s="15" t="s">
        <v>9</v>
      </c>
      <c r="B18" s="16" t="s">
        <v>10</v>
      </c>
      <c r="C18" s="27">
        <v>1100</v>
      </c>
      <c r="D18" s="28" t="s">
        <v>7</v>
      </c>
      <c r="E18" s="29">
        <v>1500</v>
      </c>
      <c r="F18" s="23">
        <v>7.0000000000000001E-3</v>
      </c>
      <c r="I18" s="39" t="s">
        <v>23</v>
      </c>
      <c r="J18" s="16">
        <f>SUMIF(A2:A38,I3,C2:C38)-SUMIF(B2:B38,I3,C2:C38)</f>
        <v>9600</v>
      </c>
      <c r="K18" s="40" t="s">
        <v>24</v>
      </c>
      <c r="L18" s="29">
        <f>L10</f>
        <v>9600</v>
      </c>
    </row>
    <row r="19" spans="1:17" ht="18">
      <c r="A19" s="15" t="s">
        <v>9</v>
      </c>
      <c r="B19" s="16" t="s">
        <v>11</v>
      </c>
      <c r="C19" s="27">
        <v>0</v>
      </c>
      <c r="D19" s="28" t="s">
        <v>7</v>
      </c>
      <c r="E19" s="29">
        <v>1500</v>
      </c>
      <c r="F19" s="23">
        <v>7.0000000000000001E-3</v>
      </c>
      <c r="I19" s="39" t="s">
        <v>25</v>
      </c>
      <c r="J19" s="16">
        <f>SUMIF(A2:A38,J3,C2:C38)-SUMIF(B2:B38,J3,C2:C38)</f>
        <v>1680.0000000000002</v>
      </c>
      <c r="K19" s="40" t="s">
        <v>24</v>
      </c>
      <c r="L19" s="29">
        <f>L11</f>
        <v>1680.0000000000002</v>
      </c>
    </row>
    <row r="20" spans="1:17" ht="18">
      <c r="A20" s="15" t="s">
        <v>9</v>
      </c>
      <c r="B20" s="16" t="s">
        <v>12</v>
      </c>
      <c r="C20" s="27">
        <v>2500</v>
      </c>
      <c r="D20" s="28" t="s">
        <v>7</v>
      </c>
      <c r="E20" s="29">
        <v>2500</v>
      </c>
      <c r="F20" s="23">
        <v>4.0000000000000001E-3</v>
      </c>
      <c r="I20" s="39" t="s">
        <v>26</v>
      </c>
      <c r="J20" s="16">
        <f>SUMIF(A2:A38,K3,C2:C38)-SUMIF(B2:B38,K3,C2:C38)</f>
        <v>5600</v>
      </c>
      <c r="K20" s="40" t="s">
        <v>24</v>
      </c>
      <c r="L20" s="29">
        <f>L12</f>
        <v>5600</v>
      </c>
    </row>
    <row r="21" spans="1:17" ht="18">
      <c r="A21" s="15" t="s">
        <v>9</v>
      </c>
      <c r="B21" s="16" t="s">
        <v>13</v>
      </c>
      <c r="C21" s="27">
        <v>1000</v>
      </c>
      <c r="D21" s="28" t="s">
        <v>7</v>
      </c>
      <c r="E21" s="29">
        <v>1000</v>
      </c>
      <c r="F21" s="23">
        <v>4.4999999999999997E-3</v>
      </c>
      <c r="I21" s="39" t="s">
        <v>27</v>
      </c>
      <c r="J21" s="16">
        <f>SUMIF(A2:A38,I4,C2:C38)-SUMIF(B2:B38,I4,C2:C38)</f>
        <v>0</v>
      </c>
      <c r="K21" s="40" t="s">
        <v>24</v>
      </c>
      <c r="L21" s="29">
        <v>0</v>
      </c>
    </row>
    <row r="22" spans="1:17" ht="18">
      <c r="A22" s="15" t="s">
        <v>9</v>
      </c>
      <c r="B22" s="16" t="s">
        <v>14</v>
      </c>
      <c r="C22" s="27">
        <v>1000</v>
      </c>
      <c r="D22" s="28" t="s">
        <v>7</v>
      </c>
      <c r="E22" s="29">
        <v>1000</v>
      </c>
      <c r="F22" s="23">
        <v>5.0000000000000001E-3</v>
      </c>
      <c r="I22" s="39" t="s">
        <v>28</v>
      </c>
      <c r="J22" s="51">
        <f>SUMIF(A2:A38,J4,C2:C38)-SUMIF(B2:B38,J4,C2:C38)</f>
        <v>0</v>
      </c>
      <c r="K22" s="40" t="s">
        <v>24</v>
      </c>
      <c r="L22" s="29">
        <v>0</v>
      </c>
    </row>
    <row r="23" spans="1:17" ht="18">
      <c r="A23" s="15" t="s">
        <v>11</v>
      </c>
      <c r="B23" s="16" t="s">
        <v>10</v>
      </c>
      <c r="C23" s="27">
        <v>2000</v>
      </c>
      <c r="D23" s="47" t="s">
        <v>7</v>
      </c>
      <c r="E23" s="48">
        <v>2000</v>
      </c>
      <c r="F23" s="23">
        <v>5.0000000000000001E-4</v>
      </c>
      <c r="I23" s="39" t="s">
        <v>29</v>
      </c>
      <c r="J23" s="16">
        <f>SUMIF(A2:A38,K4,C2:C38)-SUMIF(B2:B38,K4,C2:C38)</f>
        <v>0</v>
      </c>
      <c r="K23" s="40" t="s">
        <v>24</v>
      </c>
      <c r="L23" s="29">
        <v>0</v>
      </c>
    </row>
    <row r="24" spans="1:17" ht="18">
      <c r="A24" s="15" t="s">
        <v>11</v>
      </c>
      <c r="B24" s="16" t="s">
        <v>12</v>
      </c>
      <c r="C24" s="27">
        <v>0</v>
      </c>
      <c r="D24" s="47" t="s">
        <v>7</v>
      </c>
      <c r="E24" s="48">
        <v>2000</v>
      </c>
      <c r="F24" s="23">
        <v>2E-3</v>
      </c>
      <c r="I24" s="39" t="s">
        <v>30</v>
      </c>
      <c r="J24" s="16">
        <f>SUMIF(A2:A38,L4,C2:C38)-SUMIF(B2:B38,L4,C2:C38)</f>
        <v>0</v>
      </c>
      <c r="K24" s="40" t="s">
        <v>24</v>
      </c>
      <c r="L24" s="29">
        <v>0</v>
      </c>
    </row>
    <row r="25" spans="1:17" ht="18">
      <c r="A25" s="15" t="s">
        <v>11</v>
      </c>
      <c r="B25" s="16" t="s">
        <v>13</v>
      </c>
      <c r="C25" s="27">
        <v>0</v>
      </c>
      <c r="D25" s="47" t="s">
        <v>7</v>
      </c>
      <c r="E25" s="48">
        <v>2000</v>
      </c>
      <c r="F25" s="23">
        <v>1E-3</v>
      </c>
      <c r="I25" s="39" t="s">
        <v>31</v>
      </c>
      <c r="J25" s="16">
        <f>SUMIF(A2:A38,L3,C2:C38)-SUMIF(B2:B38,L3,C2:C38)</f>
        <v>-16880</v>
      </c>
      <c r="K25" s="40" t="s">
        <v>24</v>
      </c>
      <c r="L25" s="29">
        <f>-SUM(L10:L12)</f>
        <v>-16880</v>
      </c>
    </row>
    <row r="26" spans="1:17" ht="18">
      <c r="A26" s="15" t="s">
        <v>11</v>
      </c>
      <c r="B26" s="16" t="s">
        <v>14</v>
      </c>
      <c r="C26" s="27">
        <v>0</v>
      </c>
      <c r="D26" s="47" t="s">
        <v>7</v>
      </c>
      <c r="E26" s="48">
        <v>2000</v>
      </c>
      <c r="F26" s="23">
        <v>1E-3</v>
      </c>
    </row>
    <row r="27" spans="1:17" ht="18">
      <c r="A27" s="15" t="s">
        <v>12</v>
      </c>
      <c r="B27" s="16" t="s">
        <v>10</v>
      </c>
      <c r="C27" s="27">
        <v>5580</v>
      </c>
      <c r="D27" s="47" t="s">
        <v>7</v>
      </c>
      <c r="E27" s="48">
        <v>6000</v>
      </c>
      <c r="F27" s="23">
        <v>1E-3</v>
      </c>
    </row>
    <row r="28" spans="1:17" ht="18">
      <c r="A28" s="15" t="s">
        <v>12</v>
      </c>
      <c r="B28" s="16" t="s">
        <v>32</v>
      </c>
      <c r="C28" s="27">
        <v>0</v>
      </c>
      <c r="D28" s="47" t="s">
        <v>7</v>
      </c>
      <c r="E28" s="48">
        <v>6000</v>
      </c>
      <c r="F28" s="23">
        <v>2E-3</v>
      </c>
    </row>
    <row r="29" spans="1:17" ht="18">
      <c r="A29" s="15" t="s">
        <v>12</v>
      </c>
      <c r="B29" s="16" t="s">
        <v>13</v>
      </c>
      <c r="C29" s="27">
        <v>0</v>
      </c>
      <c r="D29" s="47" t="s">
        <v>7</v>
      </c>
      <c r="E29" s="48">
        <v>6000</v>
      </c>
      <c r="F29" s="23">
        <v>5.0000000000000001E-4</v>
      </c>
      <c r="I29" s="38" t="s">
        <v>36</v>
      </c>
      <c r="J29" s="38"/>
      <c r="K29" s="38"/>
      <c r="L29" s="38"/>
      <c r="M29" s="38"/>
      <c r="N29" s="38"/>
      <c r="O29" s="38"/>
      <c r="P29" s="38"/>
      <c r="Q29" s="38"/>
    </row>
    <row r="30" spans="1:17" ht="18">
      <c r="A30" s="15" t="s">
        <v>12</v>
      </c>
      <c r="B30" s="16" t="s">
        <v>14</v>
      </c>
      <c r="C30" s="27">
        <v>0</v>
      </c>
      <c r="D30" s="47" t="s">
        <v>7</v>
      </c>
      <c r="E30" s="48">
        <v>6000</v>
      </c>
      <c r="F30" s="23">
        <v>5.0000000000000001E-3</v>
      </c>
      <c r="I30" s="13" t="s">
        <v>8</v>
      </c>
      <c r="J30" s="39" t="s">
        <v>23</v>
      </c>
      <c r="K30" s="39" t="s">
        <v>25</v>
      </c>
      <c r="L30" s="39" t="s">
        <v>26</v>
      </c>
      <c r="M30" s="39" t="s">
        <v>31</v>
      </c>
      <c r="N30" s="39" t="s">
        <v>27</v>
      </c>
      <c r="O30" s="39" t="s">
        <v>28</v>
      </c>
      <c r="P30" s="39" t="s">
        <v>29</v>
      </c>
      <c r="Q30" s="39" t="s">
        <v>30</v>
      </c>
    </row>
    <row r="31" spans="1:17" ht="18">
      <c r="A31" s="15" t="s">
        <v>13</v>
      </c>
      <c r="B31" s="16" t="s">
        <v>10</v>
      </c>
      <c r="C31" s="27">
        <v>3000</v>
      </c>
      <c r="D31" s="47" t="s">
        <v>7</v>
      </c>
      <c r="E31" s="48">
        <v>3000</v>
      </c>
      <c r="F31" s="23">
        <v>1E-3</v>
      </c>
      <c r="I31" s="39" t="s">
        <v>23</v>
      </c>
      <c r="J31" s="52" t="s">
        <v>37</v>
      </c>
      <c r="K31" s="52">
        <v>5000</v>
      </c>
      <c r="L31" s="52">
        <v>5000</v>
      </c>
      <c r="M31" s="52">
        <v>2000</v>
      </c>
      <c r="N31" s="52">
        <v>2000</v>
      </c>
      <c r="O31" s="52">
        <v>2000</v>
      </c>
      <c r="P31" s="52">
        <v>2000</v>
      </c>
      <c r="Q31" s="52">
        <v>4000</v>
      </c>
    </row>
    <row r="32" spans="1:17" ht="18">
      <c r="A32" s="15" t="s">
        <v>13</v>
      </c>
      <c r="B32" s="16" t="s">
        <v>32</v>
      </c>
      <c r="C32" s="27">
        <v>0</v>
      </c>
      <c r="D32" s="47" t="s">
        <v>7</v>
      </c>
      <c r="E32" s="48">
        <v>3000</v>
      </c>
      <c r="F32" s="23">
        <v>1E-3</v>
      </c>
      <c r="I32" s="39" t="s">
        <v>25</v>
      </c>
      <c r="J32" s="52">
        <v>5000</v>
      </c>
      <c r="K32" s="52" t="s">
        <v>37</v>
      </c>
      <c r="L32" s="52">
        <v>2000</v>
      </c>
      <c r="M32" s="52">
        <v>200</v>
      </c>
      <c r="N32" s="52">
        <v>200</v>
      </c>
      <c r="O32" s="52">
        <v>1000</v>
      </c>
      <c r="P32" s="52">
        <v>500</v>
      </c>
      <c r="Q32" s="52">
        <v>200</v>
      </c>
    </row>
    <row r="33" spans="1:17" ht="18">
      <c r="A33" s="15" t="s">
        <v>13</v>
      </c>
      <c r="B33" s="16" t="s">
        <v>12</v>
      </c>
      <c r="C33" s="27">
        <v>80</v>
      </c>
      <c r="D33" s="47" t="s">
        <v>7</v>
      </c>
      <c r="E33" s="48">
        <v>3000</v>
      </c>
      <c r="F33" s="23">
        <v>5.0000000000000001E-4</v>
      </c>
      <c r="I33" s="39" t="s">
        <v>26</v>
      </c>
      <c r="J33" s="52">
        <v>3000</v>
      </c>
      <c r="K33" s="52">
        <v>4500</v>
      </c>
      <c r="L33" s="52" t="s">
        <v>37</v>
      </c>
      <c r="M33" s="52">
        <v>1500</v>
      </c>
      <c r="N33" s="52">
        <v>1500</v>
      </c>
      <c r="O33" s="52">
        <v>2500</v>
      </c>
      <c r="P33" s="52">
        <v>1000</v>
      </c>
      <c r="Q33" s="52">
        <v>1000</v>
      </c>
    </row>
    <row r="34" spans="1:17" ht="18">
      <c r="A34" s="15" t="s">
        <v>13</v>
      </c>
      <c r="B34" s="16" t="s">
        <v>14</v>
      </c>
      <c r="C34" s="27">
        <v>0</v>
      </c>
      <c r="D34" s="47" t="s">
        <v>7</v>
      </c>
      <c r="E34" s="48">
        <v>3000</v>
      </c>
      <c r="F34" s="23">
        <v>5.0000000000000001E-3</v>
      </c>
      <c r="I34" s="39" t="s">
        <v>27</v>
      </c>
      <c r="J34" s="52"/>
      <c r="K34" s="52"/>
      <c r="L34" s="52"/>
      <c r="M34" s="53">
        <v>2000</v>
      </c>
      <c r="N34" s="52" t="s">
        <v>37</v>
      </c>
      <c r="O34" s="52">
        <v>2000</v>
      </c>
      <c r="P34" s="52">
        <v>2000</v>
      </c>
      <c r="Q34" s="52">
        <v>2000</v>
      </c>
    </row>
    <row r="35" spans="1:17" ht="18">
      <c r="A35" s="15" t="s">
        <v>14</v>
      </c>
      <c r="B35" s="16" t="s">
        <v>10</v>
      </c>
      <c r="C35" s="27">
        <v>3000</v>
      </c>
      <c r="D35" s="47" t="s">
        <v>7</v>
      </c>
      <c r="E35" s="48">
        <v>3000</v>
      </c>
      <c r="F35" s="23">
        <v>1E-3</v>
      </c>
      <c r="I35" s="39" t="s">
        <v>28</v>
      </c>
      <c r="J35" s="52"/>
      <c r="K35" s="52"/>
      <c r="L35" s="52"/>
      <c r="M35" s="53">
        <v>6000</v>
      </c>
      <c r="N35" s="53">
        <v>6000</v>
      </c>
      <c r="O35" s="52" t="s">
        <v>37</v>
      </c>
      <c r="P35" s="52">
        <v>6000</v>
      </c>
      <c r="Q35" s="52">
        <v>6000</v>
      </c>
    </row>
    <row r="36" spans="1:17" ht="18">
      <c r="A36" s="15" t="s">
        <v>14</v>
      </c>
      <c r="B36" s="16" t="s">
        <v>32</v>
      </c>
      <c r="C36" s="27">
        <v>0</v>
      </c>
      <c r="D36" s="47" t="s">
        <v>7</v>
      </c>
      <c r="E36" s="48">
        <v>3000</v>
      </c>
      <c r="F36" s="23">
        <v>1E-3</v>
      </c>
      <c r="I36" s="39" t="s">
        <v>29</v>
      </c>
      <c r="J36" s="52"/>
      <c r="K36" s="52"/>
      <c r="L36" s="52"/>
      <c r="M36" s="53">
        <v>3000</v>
      </c>
      <c r="N36" s="53">
        <v>3000</v>
      </c>
      <c r="O36" s="53">
        <v>3000</v>
      </c>
      <c r="P36" s="52" t="s">
        <v>37</v>
      </c>
      <c r="Q36" s="52">
        <v>3000</v>
      </c>
    </row>
    <row r="37" spans="1:17" ht="18">
      <c r="A37" s="15" t="s">
        <v>14</v>
      </c>
      <c r="B37" s="16" t="s">
        <v>12</v>
      </c>
      <c r="C37" s="27">
        <v>0</v>
      </c>
      <c r="D37" s="47" t="s">
        <v>7</v>
      </c>
      <c r="E37" s="48">
        <v>3000</v>
      </c>
      <c r="F37" s="23">
        <v>5.0000000000000001E-3</v>
      </c>
      <c r="I37" s="39" t="s">
        <v>30</v>
      </c>
      <c r="J37" s="52"/>
      <c r="K37" s="52"/>
      <c r="L37" s="52"/>
      <c r="M37" s="53">
        <v>3000</v>
      </c>
      <c r="N37" s="53">
        <v>3000</v>
      </c>
      <c r="O37" s="53">
        <v>3000</v>
      </c>
      <c r="P37" s="53">
        <v>3000</v>
      </c>
      <c r="Q37" s="52" t="s">
        <v>37</v>
      </c>
    </row>
    <row r="38" spans="1:17" ht="18">
      <c r="A38" s="19" t="s">
        <v>14</v>
      </c>
      <c r="B38" s="20" t="s">
        <v>13</v>
      </c>
      <c r="C38" s="31">
        <v>0</v>
      </c>
      <c r="D38" s="49" t="s">
        <v>7</v>
      </c>
      <c r="E38" s="50">
        <v>3000</v>
      </c>
      <c r="F38" s="34">
        <v>5.0000000000000001E-3</v>
      </c>
    </row>
    <row r="41" spans="1:17">
      <c r="B41" s="92" t="s">
        <v>129</v>
      </c>
      <c r="C41" s="22">
        <f>SUMPRODUCT(F1:F37,C1:C37)</f>
        <v>83.720000000000013</v>
      </c>
    </row>
    <row r="53" spans="9:9">
      <c r="I53" s="46"/>
    </row>
  </sheetData>
  <mergeCells count="1">
    <mergeCell ref="D1:E1"/>
  </mergeCells>
  <phoneticPr fontId="1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4"/>
  <sheetViews>
    <sheetView showGridLines="0" workbookViewId="0">
      <pane ySplit="1" topLeftCell="A13" activePane="bottomLeft" state="frozen"/>
      <selection pane="bottomLeft" activeCell="B41" sqref="B41"/>
    </sheetView>
  </sheetViews>
  <sheetFormatPr baseColWidth="10" defaultColWidth="9" defaultRowHeight="14"/>
  <cols>
    <col min="1" max="1" width="11.83203125" style="12" customWidth="1"/>
    <col min="2" max="2" width="12.1640625" style="12" customWidth="1"/>
    <col min="3" max="3" width="15.33203125" style="12" customWidth="1"/>
    <col min="4" max="8" width="9" style="12"/>
    <col min="9" max="9" width="17.33203125" style="12" customWidth="1"/>
    <col min="10" max="10" width="11.33203125" style="12" customWidth="1"/>
    <col min="11" max="11" width="18.33203125" style="12" customWidth="1"/>
    <col min="12" max="12" width="18.6640625" style="12" customWidth="1"/>
    <col min="13" max="17" width="18" style="12" customWidth="1"/>
    <col min="18" max="16384" width="9" style="12"/>
  </cols>
  <sheetData>
    <row r="1" spans="1:12" ht="38">
      <c r="A1" s="13" t="s">
        <v>33</v>
      </c>
      <c r="B1" s="13" t="s">
        <v>34</v>
      </c>
      <c r="C1" s="26" t="s">
        <v>2</v>
      </c>
      <c r="D1" s="67" t="s">
        <v>3</v>
      </c>
      <c r="E1" s="67"/>
      <c r="F1" s="13" t="s">
        <v>35</v>
      </c>
    </row>
    <row r="2" spans="1:12" ht="18">
      <c r="A2" s="15" t="s">
        <v>5</v>
      </c>
      <c r="B2" s="16" t="s">
        <v>6</v>
      </c>
      <c r="C2" s="27">
        <v>0</v>
      </c>
      <c r="D2" s="28" t="s">
        <v>7</v>
      </c>
      <c r="E2" s="29">
        <v>5000</v>
      </c>
      <c r="F2" s="23">
        <v>5.0000000000000001E-3</v>
      </c>
      <c r="I2" s="13" t="s">
        <v>8</v>
      </c>
      <c r="J2" s="13"/>
      <c r="K2" s="13"/>
      <c r="L2" s="13"/>
    </row>
    <row r="3" spans="1:12" ht="18">
      <c r="A3" s="15" t="s">
        <v>5</v>
      </c>
      <c r="B3" s="16" t="s">
        <v>9</v>
      </c>
      <c r="C3" s="27">
        <v>0</v>
      </c>
      <c r="D3" s="28" t="s">
        <v>7</v>
      </c>
      <c r="E3" s="29">
        <v>5000</v>
      </c>
      <c r="F3" s="23">
        <v>5.0000000000000001E-3</v>
      </c>
      <c r="I3" s="15" t="s">
        <v>5</v>
      </c>
      <c r="J3" s="15" t="s">
        <v>6</v>
      </c>
      <c r="K3" s="15" t="s">
        <v>9</v>
      </c>
      <c r="L3" s="15" t="s">
        <v>10</v>
      </c>
    </row>
    <row r="4" spans="1:12" ht="18">
      <c r="A4" s="15" t="s">
        <v>5</v>
      </c>
      <c r="B4" s="16" t="s">
        <v>10</v>
      </c>
      <c r="C4" s="27">
        <v>2000</v>
      </c>
      <c r="D4" s="28" t="s">
        <v>7</v>
      </c>
      <c r="E4" s="29">
        <v>2000</v>
      </c>
      <c r="F4" s="23">
        <v>4.0000000000000001E-3</v>
      </c>
      <c r="I4" s="15" t="s">
        <v>11</v>
      </c>
      <c r="J4" s="15" t="s">
        <v>12</v>
      </c>
      <c r="K4" s="15" t="s">
        <v>13</v>
      </c>
      <c r="L4" s="15" t="s">
        <v>14</v>
      </c>
    </row>
    <row r="5" spans="1:12" ht="18">
      <c r="A5" s="15" t="s">
        <v>5</v>
      </c>
      <c r="B5" s="16" t="s">
        <v>11</v>
      </c>
      <c r="C5" s="27">
        <v>2000</v>
      </c>
      <c r="D5" s="28" t="s">
        <v>7</v>
      </c>
      <c r="E5" s="29">
        <v>2000</v>
      </c>
      <c r="F5" s="23">
        <v>4.0000000000000001E-3</v>
      </c>
      <c r="I5" s="35"/>
      <c r="J5" s="36"/>
    </row>
    <row r="6" spans="1:12" ht="18">
      <c r="A6" s="15" t="s">
        <v>5</v>
      </c>
      <c r="B6" s="16" t="s">
        <v>12</v>
      </c>
      <c r="C6" s="27">
        <v>2000</v>
      </c>
      <c r="D6" s="28" t="s">
        <v>7</v>
      </c>
      <c r="E6" s="29">
        <v>2000</v>
      </c>
      <c r="F6" s="23">
        <v>4.0000000000000001E-3</v>
      </c>
    </row>
    <row r="7" spans="1:12" ht="18">
      <c r="A7" s="15" t="s">
        <v>5</v>
      </c>
      <c r="B7" s="16" t="s">
        <v>13</v>
      </c>
      <c r="C7" s="27">
        <v>2000</v>
      </c>
      <c r="D7" s="28" t="s">
        <v>7</v>
      </c>
      <c r="E7" s="29">
        <v>2000</v>
      </c>
      <c r="F7" s="23">
        <v>2.5000000000000001E-3</v>
      </c>
    </row>
    <row r="8" spans="1:12" ht="18">
      <c r="A8" s="15" t="s">
        <v>5</v>
      </c>
      <c r="B8" s="16" t="s">
        <v>14</v>
      </c>
      <c r="C8" s="27">
        <v>1599.9999999999998</v>
      </c>
      <c r="D8" s="28" t="s">
        <v>7</v>
      </c>
      <c r="E8" s="29">
        <v>4000</v>
      </c>
      <c r="F8" s="23">
        <v>5.0000000000000001E-3</v>
      </c>
      <c r="I8" s="13" t="s">
        <v>15</v>
      </c>
      <c r="J8" s="13"/>
      <c r="K8" s="13"/>
      <c r="L8" s="13"/>
    </row>
    <row r="9" spans="1:12" ht="18">
      <c r="A9" s="15" t="s">
        <v>6</v>
      </c>
      <c r="B9" s="16" t="s">
        <v>5</v>
      </c>
      <c r="C9" s="27">
        <v>0</v>
      </c>
      <c r="D9" s="28" t="s">
        <v>7</v>
      </c>
      <c r="E9" s="29">
        <v>5000</v>
      </c>
      <c r="F9" s="23">
        <v>5.0000000000000001E-3</v>
      </c>
      <c r="I9" s="13" t="s">
        <v>8</v>
      </c>
      <c r="J9" s="13" t="s">
        <v>16</v>
      </c>
      <c r="K9" s="13" t="s">
        <v>17</v>
      </c>
      <c r="L9" s="13" t="s">
        <v>18</v>
      </c>
    </row>
    <row r="10" spans="1:12" ht="18">
      <c r="A10" s="15" t="s">
        <v>6</v>
      </c>
      <c r="B10" s="16" t="s">
        <v>9</v>
      </c>
      <c r="C10" s="27">
        <v>0</v>
      </c>
      <c r="D10" s="28" t="s">
        <v>7</v>
      </c>
      <c r="E10" s="29">
        <v>2000</v>
      </c>
      <c r="F10" s="23">
        <v>7.0000000000000001E-3</v>
      </c>
      <c r="I10" s="37" t="s">
        <v>5</v>
      </c>
      <c r="J10" s="15">
        <v>1200000</v>
      </c>
      <c r="K10" s="15">
        <v>8.0000000000000002E-3</v>
      </c>
      <c r="L10" s="15">
        <f>J10*K10</f>
        <v>9600</v>
      </c>
    </row>
    <row r="11" spans="1:12" ht="18">
      <c r="A11" s="15" t="s">
        <v>6</v>
      </c>
      <c r="B11" s="16" t="s">
        <v>10</v>
      </c>
      <c r="C11" s="27">
        <v>200</v>
      </c>
      <c r="D11" s="28" t="s">
        <v>7</v>
      </c>
      <c r="E11" s="29">
        <v>200</v>
      </c>
      <c r="F11" s="23">
        <v>5.0000000000000001E-3</v>
      </c>
      <c r="I11" s="37" t="s">
        <v>6</v>
      </c>
      <c r="J11" s="15">
        <v>10500000</v>
      </c>
      <c r="K11" s="15">
        <v>1.6000000000000001E-4</v>
      </c>
      <c r="L11" s="15">
        <f>J11*K11</f>
        <v>1680.0000000000002</v>
      </c>
    </row>
    <row r="12" spans="1:12" ht="18">
      <c r="A12" s="15" t="s">
        <v>6</v>
      </c>
      <c r="B12" s="16" t="s">
        <v>11</v>
      </c>
      <c r="C12" s="27">
        <v>200</v>
      </c>
      <c r="D12" s="28" t="s">
        <v>7</v>
      </c>
      <c r="E12" s="29">
        <v>200</v>
      </c>
      <c r="F12" s="23">
        <v>3.0000000000000001E-3</v>
      </c>
      <c r="I12" s="37" t="s">
        <v>9</v>
      </c>
      <c r="J12" s="15">
        <v>28000</v>
      </c>
      <c r="K12" s="15">
        <v>0.2</v>
      </c>
      <c r="L12" s="15">
        <f>J12*K12</f>
        <v>5600</v>
      </c>
    </row>
    <row r="13" spans="1:12" ht="18">
      <c r="A13" s="15" t="s">
        <v>6</v>
      </c>
      <c r="B13" s="16" t="s">
        <v>12</v>
      </c>
      <c r="C13" s="27">
        <v>1000</v>
      </c>
      <c r="D13" s="28" t="s">
        <v>7</v>
      </c>
      <c r="E13" s="29">
        <v>1000</v>
      </c>
      <c r="F13" s="23">
        <v>3.0000000000000001E-3</v>
      </c>
    </row>
    <row r="14" spans="1:12" ht="18">
      <c r="A14" s="15" t="s">
        <v>6</v>
      </c>
      <c r="B14" s="16" t="s">
        <v>13</v>
      </c>
      <c r="C14" s="27">
        <v>280.00000000000023</v>
      </c>
      <c r="D14" s="28" t="s">
        <v>7</v>
      </c>
      <c r="E14" s="29">
        <v>500</v>
      </c>
      <c r="F14" s="23">
        <v>7.4999999999999997E-3</v>
      </c>
    </row>
    <row r="15" spans="1:12" ht="18">
      <c r="A15" s="15" t="s">
        <v>6</v>
      </c>
      <c r="B15" s="16" t="s">
        <v>14</v>
      </c>
      <c r="C15" s="27">
        <v>0</v>
      </c>
      <c r="D15" s="28" t="s">
        <v>7</v>
      </c>
      <c r="E15" s="29">
        <v>200</v>
      </c>
      <c r="F15" s="23">
        <v>7.4999999999999997E-3</v>
      </c>
    </row>
    <row r="16" spans="1:12" ht="18">
      <c r="A16" s="15" t="s">
        <v>9</v>
      </c>
      <c r="B16" s="16" t="s">
        <v>5</v>
      </c>
      <c r="C16" s="27">
        <v>0</v>
      </c>
      <c r="D16" s="28" t="s">
        <v>7</v>
      </c>
      <c r="E16" s="29">
        <v>3000</v>
      </c>
      <c r="F16" s="23">
        <v>5.0000000000000001E-3</v>
      </c>
      <c r="I16" s="38" t="s">
        <v>19</v>
      </c>
      <c r="J16" s="13" t="s">
        <v>20</v>
      </c>
      <c r="K16" s="13"/>
      <c r="L16" s="13" t="s">
        <v>21</v>
      </c>
    </row>
    <row r="17" spans="1:17" ht="18">
      <c r="A17" s="15" t="s">
        <v>9</v>
      </c>
      <c r="B17" s="16" t="s">
        <v>6</v>
      </c>
      <c r="C17" s="27">
        <v>0</v>
      </c>
      <c r="D17" s="28" t="s">
        <v>7</v>
      </c>
      <c r="E17" s="29">
        <v>4500</v>
      </c>
      <c r="F17" s="23">
        <v>7.0000000000000001E-3</v>
      </c>
      <c r="I17" s="38"/>
      <c r="J17" s="13" t="s">
        <v>22</v>
      </c>
      <c r="K17" s="13"/>
      <c r="L17" s="13" t="s">
        <v>22</v>
      </c>
    </row>
    <row r="18" spans="1:17" ht="18">
      <c r="A18" s="15" t="s">
        <v>9</v>
      </c>
      <c r="B18" s="16" t="s">
        <v>10</v>
      </c>
      <c r="C18" s="27">
        <v>1100</v>
      </c>
      <c r="D18" s="28" t="s">
        <v>7</v>
      </c>
      <c r="E18" s="29">
        <v>1500</v>
      </c>
      <c r="F18" s="23">
        <v>7.0000000000000001E-3</v>
      </c>
      <c r="I18" s="39" t="s">
        <v>23</v>
      </c>
      <c r="J18" s="16">
        <f>SUMIF(A2:A38,I3,C2:C38)-SUMIF(B2:B38,I3,C2:C38)</f>
        <v>9600</v>
      </c>
      <c r="K18" s="40" t="s">
        <v>7</v>
      </c>
      <c r="L18" s="29">
        <f>L10</f>
        <v>9600</v>
      </c>
    </row>
    <row r="19" spans="1:17" ht="18">
      <c r="A19" s="15" t="s">
        <v>9</v>
      </c>
      <c r="B19" s="16" t="s">
        <v>11</v>
      </c>
      <c r="C19" s="27">
        <v>0</v>
      </c>
      <c r="D19" s="28" t="s">
        <v>7</v>
      </c>
      <c r="E19" s="29">
        <v>1500</v>
      </c>
      <c r="F19" s="23">
        <v>7.0000000000000001E-3</v>
      </c>
      <c r="I19" s="39" t="s">
        <v>25</v>
      </c>
      <c r="J19" s="16">
        <f>SUMIF(A2:A38,J3,C2:C38)-SUMIF(B2:B38,J3,C2:C38)</f>
        <v>1680.0000000000002</v>
      </c>
      <c r="K19" s="40" t="s">
        <v>24</v>
      </c>
      <c r="L19" s="29">
        <f>L11</f>
        <v>1680.0000000000002</v>
      </c>
    </row>
    <row r="20" spans="1:17" ht="18">
      <c r="A20" s="15" t="s">
        <v>9</v>
      </c>
      <c r="B20" s="16" t="s">
        <v>12</v>
      </c>
      <c r="C20" s="27">
        <v>2500</v>
      </c>
      <c r="D20" s="28" t="s">
        <v>7</v>
      </c>
      <c r="E20" s="29">
        <v>2500</v>
      </c>
      <c r="F20" s="23">
        <v>4.0000000000000001E-3</v>
      </c>
      <c r="I20" s="39" t="s">
        <v>26</v>
      </c>
      <c r="J20" s="16">
        <f>SUMIF(A2:A38,K3,C2:C38)-SUMIF(B2:B38,K3,C2:C38)</f>
        <v>5600</v>
      </c>
      <c r="K20" s="40" t="s">
        <v>24</v>
      </c>
      <c r="L20" s="29">
        <f>L12</f>
        <v>5600</v>
      </c>
    </row>
    <row r="21" spans="1:17" ht="18">
      <c r="A21" s="15" t="s">
        <v>9</v>
      </c>
      <c r="B21" s="16" t="s">
        <v>13</v>
      </c>
      <c r="C21" s="27">
        <v>1000</v>
      </c>
      <c r="D21" s="28" t="s">
        <v>7</v>
      </c>
      <c r="E21" s="29">
        <v>1000</v>
      </c>
      <c r="F21" s="23">
        <v>4.4999999999999997E-3</v>
      </c>
      <c r="I21" s="39" t="s">
        <v>27</v>
      </c>
      <c r="J21" s="16">
        <f>SUMIF(A2:A38,I4,C2:C38)-SUMIF(B2:B38,I4,C2:C38)</f>
        <v>0</v>
      </c>
      <c r="K21" s="40" t="s">
        <v>24</v>
      </c>
      <c r="L21" s="29">
        <v>0</v>
      </c>
    </row>
    <row r="22" spans="1:17" ht="18">
      <c r="A22" s="15" t="s">
        <v>9</v>
      </c>
      <c r="B22" s="16" t="s">
        <v>14</v>
      </c>
      <c r="C22" s="27">
        <v>1000</v>
      </c>
      <c r="D22" s="28" t="s">
        <v>7</v>
      </c>
      <c r="E22" s="29">
        <v>1000</v>
      </c>
      <c r="F22" s="23">
        <v>5.0000000000000001E-3</v>
      </c>
      <c r="I22" s="39" t="s">
        <v>28</v>
      </c>
      <c r="J22" s="16">
        <f>SUMIF(A2:A38,J4,C2:C38)-SUMIF(B2:B38,J4,C2:C38)</f>
        <v>0</v>
      </c>
      <c r="K22" s="40" t="s">
        <v>24</v>
      </c>
      <c r="L22" s="29">
        <v>0</v>
      </c>
    </row>
    <row r="23" spans="1:17" ht="18">
      <c r="A23" s="15" t="s">
        <v>11</v>
      </c>
      <c r="B23" s="16" t="s">
        <v>10</v>
      </c>
      <c r="C23" s="27">
        <v>2200</v>
      </c>
      <c r="D23" s="30"/>
      <c r="E23" s="29"/>
      <c r="F23" s="23">
        <v>5.0000000000000001E-4</v>
      </c>
      <c r="I23" s="39" t="s">
        <v>29</v>
      </c>
      <c r="J23" s="16">
        <f>SUMIF(A2:A38,K4,C2:C38)-SUMIF(B2:B38,K4,C2:C38)</f>
        <v>0</v>
      </c>
      <c r="K23" s="40" t="s">
        <v>24</v>
      </c>
      <c r="L23" s="29">
        <v>0</v>
      </c>
    </row>
    <row r="24" spans="1:17" ht="18">
      <c r="A24" s="15" t="s">
        <v>11</v>
      </c>
      <c r="B24" s="16" t="s">
        <v>12</v>
      </c>
      <c r="C24" s="27">
        <v>0</v>
      </c>
      <c r="D24" s="28"/>
      <c r="E24" s="29"/>
      <c r="F24" s="23">
        <v>2E-3</v>
      </c>
      <c r="I24" s="39" t="s">
        <v>30</v>
      </c>
      <c r="J24" s="16">
        <f>SUMIF(A2:A38,L4,C2:C38)-SUMIF(B2:B38,L4,C2:C38)</f>
        <v>0</v>
      </c>
      <c r="K24" s="40" t="s">
        <v>24</v>
      </c>
      <c r="L24" s="29">
        <v>0</v>
      </c>
    </row>
    <row r="25" spans="1:17" ht="18">
      <c r="A25" s="15" t="s">
        <v>11</v>
      </c>
      <c r="B25" s="16" t="s">
        <v>13</v>
      </c>
      <c r="C25" s="27">
        <v>0</v>
      </c>
      <c r="D25" s="28"/>
      <c r="E25" s="29"/>
      <c r="F25" s="23">
        <v>1E-3</v>
      </c>
      <c r="I25" s="39" t="s">
        <v>31</v>
      </c>
      <c r="J25" s="16">
        <f>SUMIF(A2:A38,L3,C2:C38)-SUMIF(B2:B38,L3,C2:C38)</f>
        <v>-16880</v>
      </c>
      <c r="K25" s="40" t="s">
        <v>24</v>
      </c>
      <c r="L25" s="29">
        <f>-SUM(L10:L12)</f>
        <v>-16880</v>
      </c>
    </row>
    <row r="26" spans="1:17" ht="18">
      <c r="A26" s="15" t="s">
        <v>11</v>
      </c>
      <c r="B26" s="16" t="s">
        <v>14</v>
      </c>
      <c r="C26" s="27">
        <v>0</v>
      </c>
      <c r="D26" s="28"/>
      <c r="E26" s="29"/>
      <c r="F26" s="23">
        <v>1E-3</v>
      </c>
    </row>
    <row r="27" spans="1:17" ht="18">
      <c r="A27" s="15" t="s">
        <v>12</v>
      </c>
      <c r="B27" s="16" t="s">
        <v>10</v>
      </c>
      <c r="C27" s="27">
        <v>5500</v>
      </c>
      <c r="D27" s="28"/>
      <c r="E27" s="29"/>
      <c r="F27" s="23">
        <v>1E-3</v>
      </c>
    </row>
    <row r="28" spans="1:17" ht="18">
      <c r="A28" s="15" t="s">
        <v>12</v>
      </c>
      <c r="B28" s="16" t="s">
        <v>32</v>
      </c>
      <c r="C28" s="27">
        <v>0</v>
      </c>
      <c r="D28" s="28"/>
      <c r="E28" s="29"/>
      <c r="F28" s="23">
        <v>2E-3</v>
      </c>
    </row>
    <row r="29" spans="1:17" ht="18">
      <c r="A29" s="15" t="s">
        <v>12</v>
      </c>
      <c r="B29" s="16" t="s">
        <v>13</v>
      </c>
      <c r="C29" s="27">
        <v>0</v>
      </c>
      <c r="D29" s="28"/>
      <c r="E29" s="29"/>
      <c r="F29" s="23">
        <v>5.0000000000000001E-4</v>
      </c>
      <c r="I29" s="71" t="s">
        <v>0</v>
      </c>
      <c r="J29" s="71" t="s">
        <v>38</v>
      </c>
      <c r="K29" s="68" t="s">
        <v>39</v>
      </c>
      <c r="L29" s="69"/>
      <c r="M29" s="69"/>
      <c r="N29" s="69"/>
      <c r="O29" s="69"/>
      <c r="P29" s="69"/>
      <c r="Q29" s="69"/>
    </row>
    <row r="30" spans="1:17" ht="18">
      <c r="A30" s="15" t="s">
        <v>12</v>
      </c>
      <c r="B30" s="16" t="s">
        <v>14</v>
      </c>
      <c r="C30" s="27">
        <v>0</v>
      </c>
      <c r="D30" s="28"/>
      <c r="E30" s="29"/>
      <c r="F30" s="23">
        <v>5.0000000000000001E-3</v>
      </c>
      <c r="I30" s="71"/>
      <c r="J30" s="71"/>
      <c r="K30" s="41">
        <v>9000</v>
      </c>
      <c r="L30" s="42">
        <f t="shared" ref="L30:Q30" si="0">K30+100</f>
        <v>9100</v>
      </c>
      <c r="M30" s="42">
        <f t="shared" si="0"/>
        <v>9200</v>
      </c>
      <c r="N30" s="42">
        <f t="shared" si="0"/>
        <v>9300</v>
      </c>
      <c r="O30" s="42">
        <f t="shared" si="0"/>
        <v>9400</v>
      </c>
      <c r="P30" s="42">
        <f t="shared" si="0"/>
        <v>9500</v>
      </c>
      <c r="Q30" s="42">
        <f t="shared" si="0"/>
        <v>9600</v>
      </c>
    </row>
    <row r="31" spans="1:17" ht="18">
      <c r="A31" s="15" t="s">
        <v>13</v>
      </c>
      <c r="B31" s="16" t="s">
        <v>10</v>
      </c>
      <c r="C31" s="27">
        <v>3280</v>
      </c>
      <c r="D31" s="28"/>
      <c r="E31" s="29"/>
      <c r="F31" s="23">
        <v>1E-3</v>
      </c>
      <c r="I31" s="43" t="s">
        <v>23</v>
      </c>
      <c r="J31" s="43" t="s">
        <v>25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</row>
    <row r="32" spans="1:17" ht="18">
      <c r="A32" s="15" t="s">
        <v>13</v>
      </c>
      <c r="B32" s="16" t="s">
        <v>32</v>
      </c>
      <c r="C32" s="27">
        <v>0</v>
      </c>
      <c r="D32" s="28"/>
      <c r="E32" s="29"/>
      <c r="F32" s="23">
        <v>1E-3</v>
      </c>
      <c r="I32" s="43" t="s">
        <v>23</v>
      </c>
      <c r="J32" s="43" t="s">
        <v>26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</row>
    <row r="33" spans="1:17" ht="18">
      <c r="A33" s="15" t="s">
        <v>13</v>
      </c>
      <c r="B33" s="16" t="s">
        <v>12</v>
      </c>
      <c r="C33" s="27">
        <v>0</v>
      </c>
      <c r="D33" s="28"/>
      <c r="E33" s="29"/>
      <c r="F33" s="23">
        <v>5.0000000000000001E-4</v>
      </c>
      <c r="I33" s="43" t="s">
        <v>23</v>
      </c>
      <c r="J33" s="43" t="s">
        <v>31</v>
      </c>
      <c r="K33" s="44">
        <v>2000</v>
      </c>
      <c r="L33" s="44">
        <v>2000</v>
      </c>
      <c r="M33" s="44">
        <v>2000</v>
      </c>
      <c r="N33" s="44">
        <v>2000</v>
      </c>
      <c r="O33" s="44">
        <v>2000</v>
      </c>
      <c r="P33" s="44">
        <v>2000</v>
      </c>
      <c r="Q33" s="44">
        <v>2000</v>
      </c>
    </row>
    <row r="34" spans="1:17" ht="18">
      <c r="A34" s="15" t="s">
        <v>13</v>
      </c>
      <c r="B34" s="16" t="s">
        <v>14</v>
      </c>
      <c r="C34" s="27">
        <v>0</v>
      </c>
      <c r="D34" s="28"/>
      <c r="E34" s="29"/>
      <c r="F34" s="23">
        <v>5.0000000000000001E-3</v>
      </c>
      <c r="I34" s="43" t="s">
        <v>23</v>
      </c>
      <c r="J34" s="43" t="s">
        <v>27</v>
      </c>
      <c r="K34" s="44">
        <v>2000</v>
      </c>
      <c r="L34" s="44">
        <v>2000</v>
      </c>
      <c r="M34" s="44">
        <v>2000</v>
      </c>
      <c r="N34" s="44">
        <v>2000</v>
      </c>
      <c r="O34" s="44">
        <v>2000</v>
      </c>
      <c r="P34" s="44">
        <v>2000</v>
      </c>
      <c r="Q34" s="44">
        <v>2000</v>
      </c>
    </row>
    <row r="35" spans="1:17" ht="18">
      <c r="A35" s="15" t="s">
        <v>14</v>
      </c>
      <c r="B35" s="16" t="s">
        <v>10</v>
      </c>
      <c r="C35" s="27">
        <v>2600</v>
      </c>
      <c r="D35" s="28"/>
      <c r="E35" s="29"/>
      <c r="F35" s="23">
        <v>1E-3</v>
      </c>
      <c r="I35" s="43" t="s">
        <v>23</v>
      </c>
      <c r="J35" s="43" t="s">
        <v>28</v>
      </c>
      <c r="K35" s="44">
        <v>2000</v>
      </c>
      <c r="L35" s="44">
        <v>2000</v>
      </c>
      <c r="M35" s="44">
        <v>2000</v>
      </c>
      <c r="N35" s="44">
        <v>2000</v>
      </c>
      <c r="O35" s="44">
        <v>2000</v>
      </c>
      <c r="P35" s="44">
        <v>2000</v>
      </c>
      <c r="Q35" s="44">
        <v>2000</v>
      </c>
    </row>
    <row r="36" spans="1:17" ht="18">
      <c r="A36" s="15" t="s">
        <v>14</v>
      </c>
      <c r="B36" s="16" t="s">
        <v>32</v>
      </c>
      <c r="C36" s="27">
        <v>0</v>
      </c>
      <c r="D36" s="28"/>
      <c r="E36" s="29"/>
      <c r="F36" s="23">
        <v>1E-3</v>
      </c>
      <c r="I36" s="43" t="s">
        <v>23</v>
      </c>
      <c r="J36" s="43" t="s">
        <v>29</v>
      </c>
      <c r="K36" s="44">
        <v>2000</v>
      </c>
      <c r="L36" s="44">
        <v>2000</v>
      </c>
      <c r="M36" s="44">
        <v>2000</v>
      </c>
      <c r="N36" s="44">
        <v>2000</v>
      </c>
      <c r="O36" s="44">
        <v>2000</v>
      </c>
      <c r="P36" s="44">
        <v>2000</v>
      </c>
      <c r="Q36" s="44">
        <v>2000</v>
      </c>
    </row>
    <row r="37" spans="1:17" ht="18">
      <c r="A37" s="15" t="s">
        <v>14</v>
      </c>
      <c r="B37" s="16" t="s">
        <v>12</v>
      </c>
      <c r="C37" s="27">
        <v>0</v>
      </c>
      <c r="D37" s="28"/>
      <c r="E37" s="29"/>
      <c r="F37" s="23">
        <v>5.0000000000000001E-3</v>
      </c>
      <c r="I37" s="43" t="s">
        <v>23</v>
      </c>
      <c r="J37" s="43" t="s">
        <v>30</v>
      </c>
      <c r="K37" s="44">
        <v>1000</v>
      </c>
      <c r="L37" s="44">
        <v>1100</v>
      </c>
      <c r="M37" s="44">
        <v>1200</v>
      </c>
      <c r="N37" s="44">
        <v>1300</v>
      </c>
      <c r="O37" s="44">
        <v>1400</v>
      </c>
      <c r="P37" s="44">
        <v>1500</v>
      </c>
      <c r="Q37" s="44">
        <v>1600</v>
      </c>
    </row>
    <row r="38" spans="1:17" ht="18">
      <c r="A38" s="19" t="s">
        <v>14</v>
      </c>
      <c r="B38" s="20" t="s">
        <v>13</v>
      </c>
      <c r="C38" s="31">
        <v>0</v>
      </c>
      <c r="D38" s="32"/>
      <c r="E38" s="33"/>
      <c r="F38" s="34">
        <v>5.0000000000000001E-3</v>
      </c>
      <c r="I38" s="70" t="s">
        <v>40</v>
      </c>
      <c r="J38" s="70"/>
      <c r="K38" s="22">
        <v>79.78</v>
      </c>
      <c r="L38" s="22">
        <v>80.38</v>
      </c>
      <c r="M38" s="22">
        <v>80.98</v>
      </c>
      <c r="N38" s="22">
        <v>81.58</v>
      </c>
      <c r="O38" s="22">
        <v>82.18</v>
      </c>
      <c r="P38" s="22">
        <v>82.78</v>
      </c>
      <c r="Q38" s="22">
        <v>83.38</v>
      </c>
    </row>
    <row r="39" spans="1:17">
      <c r="I39" s="45"/>
      <c r="J39" s="45"/>
      <c r="K39" s="45"/>
      <c r="L39" s="45"/>
      <c r="M39" s="45"/>
      <c r="N39" s="45"/>
      <c r="O39" s="45"/>
      <c r="P39" s="45"/>
      <c r="Q39" s="45"/>
    </row>
    <row r="41" spans="1:17">
      <c r="B41" s="92" t="s">
        <v>129</v>
      </c>
      <c r="C41" s="22">
        <f>SUMPRODUCT(F1:F37,C1:C37)</f>
        <v>83.38</v>
      </c>
    </row>
    <row r="54" spans="9:9">
      <c r="I54" s="46"/>
    </row>
  </sheetData>
  <mergeCells count="5">
    <mergeCell ref="D1:E1"/>
    <mergeCell ref="K29:Q29"/>
    <mergeCell ref="I38:J38"/>
    <mergeCell ref="I29:I30"/>
    <mergeCell ref="J29:J30"/>
  </mergeCells>
  <phoneticPr fontId="1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5"/>
  <sheetViews>
    <sheetView topLeftCell="A48" zoomScale="89" workbookViewId="0">
      <selection activeCell="K12" sqref="K12"/>
    </sheetView>
  </sheetViews>
  <sheetFormatPr baseColWidth="10" defaultColWidth="9" defaultRowHeight="14"/>
  <cols>
    <col min="1" max="1" width="13.6640625" style="12" customWidth="1"/>
    <col min="2" max="2" width="12.5" style="12" customWidth="1"/>
    <col min="3" max="3" width="14" style="12" customWidth="1"/>
    <col min="4" max="4" width="11.6640625" style="12" customWidth="1"/>
    <col min="5" max="5" width="12" style="12" customWidth="1"/>
    <col min="6" max="6" width="13.6640625" style="12" customWidth="1"/>
    <col min="7" max="7" width="14.33203125" style="12" customWidth="1"/>
    <col min="8" max="8" width="13.5" style="12" customWidth="1"/>
    <col min="9" max="9" width="13.83203125" style="12" customWidth="1"/>
    <col min="10" max="11" width="13.6640625" style="12" customWidth="1"/>
    <col min="12" max="16384" width="9" style="12"/>
  </cols>
  <sheetData>
    <row r="1" spans="1:9" ht="18" customHeight="1">
      <c r="A1" s="72" t="s">
        <v>121</v>
      </c>
      <c r="B1" s="73" t="s">
        <v>122</v>
      </c>
      <c r="C1" s="74" t="s">
        <v>123</v>
      </c>
      <c r="D1" s="74"/>
      <c r="E1" s="74"/>
      <c r="F1" s="74"/>
      <c r="G1" s="74"/>
      <c r="H1" s="74"/>
      <c r="I1" s="74"/>
    </row>
    <row r="2" spans="1:9">
      <c r="A2" s="72"/>
      <c r="B2" s="73"/>
      <c r="C2" s="14">
        <v>0</v>
      </c>
      <c r="D2" s="14">
        <f t="shared" ref="D2:I2" si="0">C2+0.01%</f>
        <v>1E-4</v>
      </c>
      <c r="E2" s="14">
        <f t="shared" si="0"/>
        <v>2.0000000000000001E-4</v>
      </c>
      <c r="F2" s="14">
        <f t="shared" si="0"/>
        <v>3.0000000000000003E-4</v>
      </c>
      <c r="G2" s="14">
        <f t="shared" si="0"/>
        <v>4.0000000000000002E-4</v>
      </c>
      <c r="H2" s="14">
        <f t="shared" si="0"/>
        <v>5.0000000000000001E-4</v>
      </c>
      <c r="I2" s="14">
        <f t="shared" si="0"/>
        <v>6.0000000000000006E-4</v>
      </c>
    </row>
    <row r="3" spans="1:9" ht="18">
      <c r="A3" s="15" t="s">
        <v>5</v>
      </c>
      <c r="B3" s="16" t="s">
        <v>6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23">
        <v>0</v>
      </c>
    </row>
    <row r="4" spans="1:9" ht="18">
      <c r="A4" s="15" t="s">
        <v>5</v>
      </c>
      <c r="B4" s="16" t="s">
        <v>9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</row>
    <row r="5" spans="1:9" ht="18">
      <c r="A5" s="15" t="s">
        <v>5</v>
      </c>
      <c r="B5" s="16" t="s">
        <v>10</v>
      </c>
      <c r="C5" s="18">
        <v>2000</v>
      </c>
      <c r="D5" s="18">
        <v>2000</v>
      </c>
      <c r="E5" s="18">
        <v>2000</v>
      </c>
      <c r="F5" s="18">
        <v>2000</v>
      </c>
      <c r="G5" s="18">
        <v>2000</v>
      </c>
      <c r="H5" s="18">
        <v>2000</v>
      </c>
      <c r="I5" s="18">
        <v>2000</v>
      </c>
    </row>
    <row r="6" spans="1:9" ht="18">
      <c r="A6" s="15" t="s">
        <v>5</v>
      </c>
      <c r="B6" s="16" t="s">
        <v>11</v>
      </c>
      <c r="C6" s="18">
        <v>2000</v>
      </c>
      <c r="D6" s="18">
        <v>2000</v>
      </c>
      <c r="E6" s="18">
        <v>2000</v>
      </c>
      <c r="F6" s="18">
        <v>2000</v>
      </c>
      <c r="G6" s="18">
        <v>2000</v>
      </c>
      <c r="H6" s="18">
        <v>2000</v>
      </c>
      <c r="I6" s="18">
        <v>2000</v>
      </c>
    </row>
    <row r="7" spans="1:9" ht="18">
      <c r="A7" s="15" t="s">
        <v>5</v>
      </c>
      <c r="B7" s="16" t="s">
        <v>12</v>
      </c>
      <c r="C7" s="18">
        <v>2000</v>
      </c>
      <c r="D7" s="18">
        <v>2000</v>
      </c>
      <c r="E7" s="18">
        <v>2000</v>
      </c>
      <c r="F7" s="18">
        <v>2000</v>
      </c>
      <c r="G7" s="18">
        <v>2000</v>
      </c>
      <c r="H7" s="18">
        <v>2000</v>
      </c>
      <c r="I7" s="18">
        <v>2000</v>
      </c>
    </row>
    <row r="8" spans="1:9" ht="18">
      <c r="A8" s="15" t="s">
        <v>5</v>
      </c>
      <c r="B8" s="16" t="s">
        <v>13</v>
      </c>
      <c r="C8" s="18">
        <v>2000</v>
      </c>
      <c r="D8" s="18">
        <v>2000</v>
      </c>
      <c r="E8" s="18">
        <v>2000</v>
      </c>
      <c r="F8" s="18">
        <v>2000</v>
      </c>
      <c r="G8" s="18">
        <v>2000</v>
      </c>
      <c r="H8" s="18">
        <v>2000</v>
      </c>
      <c r="I8" s="18">
        <v>2000</v>
      </c>
    </row>
    <row r="9" spans="1:9" ht="18">
      <c r="A9" s="15" t="s">
        <v>5</v>
      </c>
      <c r="B9" s="16" t="s">
        <v>14</v>
      </c>
      <c r="C9" s="18">
        <v>1599.9999999999998</v>
      </c>
      <c r="D9" s="18">
        <v>1599.9999999999998</v>
      </c>
      <c r="E9" s="18">
        <v>1599.9999999999998</v>
      </c>
      <c r="F9" s="18">
        <v>1599.9999999999998</v>
      </c>
      <c r="G9" s="18">
        <v>1599.9999999999998</v>
      </c>
      <c r="H9" s="18">
        <v>1599.9999999999998</v>
      </c>
      <c r="I9" s="18">
        <v>1599.9999999999998</v>
      </c>
    </row>
    <row r="10" spans="1:9" ht="18">
      <c r="A10" s="15" t="s">
        <v>6</v>
      </c>
      <c r="B10" s="16" t="s">
        <v>5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</row>
    <row r="11" spans="1:9" ht="18">
      <c r="A11" s="15" t="s">
        <v>6</v>
      </c>
      <c r="B11" s="16" t="s">
        <v>9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</row>
    <row r="12" spans="1:9" ht="18">
      <c r="A12" s="15" t="s">
        <v>6</v>
      </c>
      <c r="B12" s="16" t="s">
        <v>10</v>
      </c>
      <c r="C12" s="18">
        <v>200</v>
      </c>
      <c r="D12" s="18">
        <v>200</v>
      </c>
      <c r="E12" s="18">
        <v>200</v>
      </c>
      <c r="F12" s="18">
        <v>200</v>
      </c>
      <c r="G12" s="18">
        <v>200</v>
      </c>
      <c r="H12" s="18">
        <v>200</v>
      </c>
      <c r="I12" s="18">
        <v>200</v>
      </c>
    </row>
    <row r="13" spans="1:9" ht="18">
      <c r="A13" s="15" t="s">
        <v>6</v>
      </c>
      <c r="B13" s="16" t="s">
        <v>11</v>
      </c>
      <c r="C13" s="18">
        <v>200</v>
      </c>
      <c r="D13" s="18">
        <v>200</v>
      </c>
      <c r="E13" s="18">
        <v>200</v>
      </c>
      <c r="F13" s="18">
        <v>200</v>
      </c>
      <c r="G13" s="18">
        <v>200</v>
      </c>
      <c r="H13" s="18">
        <v>200</v>
      </c>
      <c r="I13" s="18">
        <v>200</v>
      </c>
    </row>
    <row r="14" spans="1:9" ht="18">
      <c r="A14" s="15" t="s">
        <v>6</v>
      </c>
      <c r="B14" s="16" t="s">
        <v>12</v>
      </c>
      <c r="C14" s="18">
        <v>1000</v>
      </c>
      <c r="D14" s="18">
        <v>1000</v>
      </c>
      <c r="E14" s="18">
        <v>1000</v>
      </c>
      <c r="F14" s="18">
        <v>1000</v>
      </c>
      <c r="G14" s="18">
        <v>1000</v>
      </c>
      <c r="H14" s="18">
        <v>1000</v>
      </c>
      <c r="I14" s="18">
        <v>1000</v>
      </c>
    </row>
    <row r="15" spans="1:9" ht="18">
      <c r="A15" s="15" t="s">
        <v>6</v>
      </c>
      <c r="B15" s="16" t="s">
        <v>13</v>
      </c>
      <c r="C15" s="18">
        <v>280.00000000000023</v>
      </c>
      <c r="D15" s="18">
        <v>280.00000000000023</v>
      </c>
      <c r="E15" s="18">
        <v>280.00000000000023</v>
      </c>
      <c r="F15" s="18">
        <v>280.00000000000023</v>
      </c>
      <c r="G15" s="18">
        <v>280.00000000000023</v>
      </c>
      <c r="H15" s="18">
        <v>280.00000000000023</v>
      </c>
      <c r="I15" s="18">
        <v>280.00000000000023</v>
      </c>
    </row>
    <row r="16" spans="1:9" ht="18">
      <c r="A16" s="15" t="s">
        <v>6</v>
      </c>
      <c r="B16" s="16" t="s">
        <v>14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</row>
    <row r="17" spans="1:9" ht="18">
      <c r="A17" s="15" t="s">
        <v>9</v>
      </c>
      <c r="B17" s="16" t="s">
        <v>5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</row>
    <row r="18" spans="1:9" ht="18">
      <c r="A18" s="15" t="s">
        <v>9</v>
      </c>
      <c r="B18" s="16" t="s">
        <v>6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</row>
    <row r="19" spans="1:9" ht="18">
      <c r="A19" s="15" t="s">
        <v>9</v>
      </c>
      <c r="B19" s="16" t="s">
        <v>10</v>
      </c>
      <c r="C19" s="18">
        <v>1100</v>
      </c>
      <c r="D19" s="18">
        <v>1100</v>
      </c>
      <c r="E19" s="18">
        <v>1100</v>
      </c>
      <c r="F19" s="18">
        <v>1100</v>
      </c>
      <c r="G19" s="18">
        <v>1100</v>
      </c>
      <c r="H19" s="18">
        <v>1100</v>
      </c>
      <c r="I19" s="18">
        <v>1100</v>
      </c>
    </row>
    <row r="20" spans="1:9" ht="18">
      <c r="A20" s="15" t="s">
        <v>9</v>
      </c>
      <c r="B20" s="16" t="s">
        <v>11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</row>
    <row r="21" spans="1:9" ht="18">
      <c r="A21" s="15" t="s">
        <v>9</v>
      </c>
      <c r="B21" s="16" t="s">
        <v>12</v>
      </c>
      <c r="C21" s="18">
        <v>2500</v>
      </c>
      <c r="D21" s="18">
        <v>2500</v>
      </c>
      <c r="E21" s="18">
        <v>2500</v>
      </c>
      <c r="F21" s="18">
        <v>2500</v>
      </c>
      <c r="G21" s="18">
        <v>2500</v>
      </c>
      <c r="H21" s="18">
        <v>2500</v>
      </c>
      <c r="I21" s="18">
        <v>2500</v>
      </c>
    </row>
    <row r="22" spans="1:9" ht="18">
      <c r="A22" s="15" t="s">
        <v>9</v>
      </c>
      <c r="B22" s="16" t="s">
        <v>13</v>
      </c>
      <c r="C22" s="18">
        <v>1000</v>
      </c>
      <c r="D22" s="18">
        <v>1000</v>
      </c>
      <c r="E22" s="18">
        <v>1000</v>
      </c>
      <c r="F22" s="18">
        <v>1000</v>
      </c>
      <c r="G22" s="18">
        <v>1000</v>
      </c>
      <c r="H22" s="18">
        <v>1000</v>
      </c>
      <c r="I22" s="18">
        <v>1000</v>
      </c>
    </row>
    <row r="23" spans="1:9" ht="18">
      <c r="A23" s="15" t="s">
        <v>9</v>
      </c>
      <c r="B23" s="16" t="s">
        <v>14</v>
      </c>
      <c r="C23" s="18">
        <v>1000</v>
      </c>
      <c r="D23" s="18">
        <v>1000</v>
      </c>
      <c r="E23" s="18">
        <v>1000</v>
      </c>
      <c r="F23" s="18">
        <v>1000</v>
      </c>
      <c r="G23" s="18">
        <v>1000</v>
      </c>
      <c r="H23" s="18">
        <v>1000</v>
      </c>
      <c r="I23" s="18">
        <v>1000</v>
      </c>
    </row>
    <row r="24" spans="1:9" ht="18">
      <c r="A24" s="15" t="s">
        <v>11</v>
      </c>
      <c r="B24" s="16" t="s">
        <v>10</v>
      </c>
      <c r="C24" s="18">
        <v>7700</v>
      </c>
      <c r="D24" s="18">
        <v>7700</v>
      </c>
      <c r="E24" s="18">
        <v>7700</v>
      </c>
      <c r="F24" s="18">
        <v>7700</v>
      </c>
      <c r="G24" s="18">
        <v>7700</v>
      </c>
      <c r="H24" s="18">
        <v>2200</v>
      </c>
      <c r="I24" s="18">
        <v>2200</v>
      </c>
    </row>
    <row r="25" spans="1:9" ht="18">
      <c r="A25" s="15" t="s">
        <v>11</v>
      </c>
      <c r="B25" s="16" t="s">
        <v>12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</row>
    <row r="26" spans="1:9" ht="18">
      <c r="A26" s="15" t="s">
        <v>11</v>
      </c>
      <c r="B26" s="16" t="s">
        <v>13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</row>
    <row r="27" spans="1:9" ht="18">
      <c r="A27" s="15" t="s">
        <v>11</v>
      </c>
      <c r="B27" s="16" t="s">
        <v>14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</row>
    <row r="28" spans="1:9" ht="18">
      <c r="A28" s="15" t="s">
        <v>12</v>
      </c>
      <c r="B28" s="16" t="s">
        <v>10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5500</v>
      </c>
      <c r="I28" s="18">
        <v>5500</v>
      </c>
    </row>
    <row r="29" spans="1:9" ht="18">
      <c r="A29" s="15" t="s">
        <v>12</v>
      </c>
      <c r="B29" s="16" t="s">
        <v>32</v>
      </c>
      <c r="C29" s="18">
        <v>5500</v>
      </c>
      <c r="D29" s="18">
        <v>5500</v>
      </c>
      <c r="E29" s="18">
        <v>5500</v>
      </c>
      <c r="F29" s="18">
        <v>5500</v>
      </c>
      <c r="G29" s="18">
        <v>5500</v>
      </c>
      <c r="H29" s="18">
        <v>0</v>
      </c>
      <c r="I29" s="18">
        <v>0</v>
      </c>
    </row>
    <row r="30" spans="1:9" ht="18">
      <c r="A30" s="15" t="s">
        <v>12</v>
      </c>
      <c r="B30" s="16" t="s">
        <v>13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</row>
    <row r="31" spans="1:9" ht="18">
      <c r="A31" s="15" t="s">
        <v>12</v>
      </c>
      <c r="B31" s="16" t="s">
        <v>14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</row>
    <row r="32" spans="1:9" ht="18">
      <c r="A32" s="15" t="s">
        <v>13</v>
      </c>
      <c r="B32" s="16" t="s">
        <v>10</v>
      </c>
      <c r="C32" s="18">
        <v>3280</v>
      </c>
      <c r="D32" s="18">
        <v>3280</v>
      </c>
      <c r="E32" s="18">
        <v>3280</v>
      </c>
      <c r="F32" s="18">
        <v>3280</v>
      </c>
      <c r="G32" s="18">
        <v>3280</v>
      </c>
      <c r="H32" s="18">
        <v>3280</v>
      </c>
      <c r="I32" s="18">
        <v>3280</v>
      </c>
    </row>
    <row r="33" spans="1:11" ht="18">
      <c r="A33" s="15" t="s">
        <v>13</v>
      </c>
      <c r="B33" s="16" t="s">
        <v>32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</row>
    <row r="34" spans="1:11" ht="18">
      <c r="A34" s="15" t="s">
        <v>13</v>
      </c>
      <c r="B34" s="16" t="s">
        <v>12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</row>
    <row r="35" spans="1:11" ht="18">
      <c r="A35" s="15" t="s">
        <v>13</v>
      </c>
      <c r="B35" s="16" t="s">
        <v>14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</row>
    <row r="36" spans="1:11" ht="18">
      <c r="A36" s="15" t="s">
        <v>14</v>
      </c>
      <c r="B36" s="16" t="s">
        <v>10</v>
      </c>
      <c r="C36" s="18">
        <v>2599.9999999999995</v>
      </c>
      <c r="D36" s="18">
        <v>2599.9999999999995</v>
      </c>
      <c r="E36" s="18">
        <v>2599.9999999999995</v>
      </c>
      <c r="F36" s="18">
        <v>2599.9999999999995</v>
      </c>
      <c r="G36" s="18">
        <v>2599.9999999999995</v>
      </c>
      <c r="H36" s="18">
        <v>2599.9999999999995</v>
      </c>
      <c r="I36" s="18">
        <v>2599.9999999999995</v>
      </c>
    </row>
    <row r="37" spans="1:11" ht="18">
      <c r="A37" s="15" t="s">
        <v>14</v>
      </c>
      <c r="B37" s="16" t="s">
        <v>32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</row>
    <row r="38" spans="1:11" ht="18">
      <c r="A38" s="15" t="s">
        <v>14</v>
      </c>
      <c r="B38" s="16" t="s">
        <v>12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</row>
    <row r="39" spans="1:11" ht="19" thickBot="1">
      <c r="A39" s="19" t="s">
        <v>14</v>
      </c>
      <c r="B39" s="20" t="s">
        <v>13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</row>
    <row r="40" spans="1:11" ht="16" thickTop="1" thickBot="1">
      <c r="A40" s="75" t="s">
        <v>124</v>
      </c>
      <c r="B40" s="76"/>
      <c r="C40" s="22">
        <v>80.63</v>
      </c>
      <c r="D40" s="22">
        <v>81.179999999999993</v>
      </c>
      <c r="E40" s="22">
        <v>81.72999999999999</v>
      </c>
      <c r="F40" s="22">
        <v>82.28</v>
      </c>
      <c r="G40" s="22">
        <v>82.83</v>
      </c>
      <c r="H40" s="22">
        <v>83.38</v>
      </c>
      <c r="I40" s="22">
        <v>83.38</v>
      </c>
    </row>
    <row r="43" spans="1:11" ht="18">
      <c r="A43" s="72" t="s">
        <v>121</v>
      </c>
      <c r="B43" s="73" t="s">
        <v>122</v>
      </c>
      <c r="C43" s="74" t="s">
        <v>125</v>
      </c>
      <c r="D43" s="74"/>
      <c r="E43" s="74"/>
      <c r="F43" s="74"/>
      <c r="G43" s="74"/>
      <c r="H43" s="74"/>
      <c r="I43" s="74"/>
      <c r="J43" s="74"/>
      <c r="K43" s="74"/>
    </row>
    <row r="44" spans="1:11">
      <c r="A44" s="72"/>
      <c r="B44" s="73"/>
      <c r="C44" s="14">
        <v>2.9999999999999997E-4</v>
      </c>
      <c r="D44" s="14">
        <v>4.0000000000000002E-4</v>
      </c>
      <c r="E44" s="14">
        <v>5.0000000000000001E-4</v>
      </c>
      <c r="F44" s="14">
        <v>5.9999999999999995E-4</v>
      </c>
      <c r="G44" s="14">
        <v>1E-3</v>
      </c>
      <c r="H44" s="14">
        <v>1.4E-3</v>
      </c>
      <c r="I44" s="14">
        <v>1.5E-3</v>
      </c>
      <c r="J44" s="24">
        <v>1.6000000000000001E-3</v>
      </c>
      <c r="K44" s="24">
        <v>1.6999999999999999E-3</v>
      </c>
    </row>
    <row r="45" spans="1:11" ht="18">
      <c r="A45" s="15" t="s">
        <v>5</v>
      </c>
      <c r="B45" s="16" t="s">
        <v>6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25">
        <v>0</v>
      </c>
      <c r="K45" s="25">
        <v>0</v>
      </c>
    </row>
    <row r="46" spans="1:11" ht="18">
      <c r="A46" s="15" t="s">
        <v>5</v>
      </c>
      <c r="B46" s="16" t="s">
        <v>9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25">
        <v>0</v>
      </c>
      <c r="K46" s="25">
        <v>0</v>
      </c>
    </row>
    <row r="47" spans="1:11" ht="18">
      <c r="A47" s="15" t="s">
        <v>5</v>
      </c>
      <c r="B47" s="16" t="s">
        <v>10</v>
      </c>
      <c r="C47" s="18">
        <v>2000</v>
      </c>
      <c r="D47" s="18">
        <v>2000</v>
      </c>
      <c r="E47" s="18">
        <v>2000</v>
      </c>
      <c r="F47" s="18">
        <v>2000</v>
      </c>
      <c r="G47" s="18">
        <v>2000</v>
      </c>
      <c r="H47" s="18">
        <v>2000</v>
      </c>
      <c r="I47" s="18">
        <v>2000</v>
      </c>
      <c r="J47" s="25">
        <v>2000</v>
      </c>
      <c r="K47" s="25">
        <v>2000</v>
      </c>
    </row>
    <row r="48" spans="1:11" ht="18">
      <c r="A48" s="15" t="s">
        <v>5</v>
      </c>
      <c r="B48" s="16" t="s">
        <v>11</v>
      </c>
      <c r="C48" s="18">
        <v>2000</v>
      </c>
      <c r="D48" s="18">
        <v>2000</v>
      </c>
      <c r="E48" s="18">
        <v>2000</v>
      </c>
      <c r="F48" s="18">
        <v>2000</v>
      </c>
      <c r="G48" s="18">
        <v>2000</v>
      </c>
      <c r="H48" s="18">
        <v>2000</v>
      </c>
      <c r="I48" s="18">
        <v>2000</v>
      </c>
      <c r="J48" s="25">
        <v>2000</v>
      </c>
      <c r="K48" s="25">
        <v>2000</v>
      </c>
    </row>
    <row r="49" spans="1:11" ht="18">
      <c r="A49" s="15" t="s">
        <v>5</v>
      </c>
      <c r="B49" s="16" t="s">
        <v>12</v>
      </c>
      <c r="C49" s="18">
        <v>2000</v>
      </c>
      <c r="D49" s="18">
        <v>2000</v>
      </c>
      <c r="E49" s="18">
        <v>2000</v>
      </c>
      <c r="F49" s="18">
        <v>2000</v>
      </c>
      <c r="G49" s="18">
        <v>2000</v>
      </c>
      <c r="H49" s="18">
        <v>2000</v>
      </c>
      <c r="I49" s="18">
        <v>2000</v>
      </c>
      <c r="J49" s="25">
        <v>2000</v>
      </c>
      <c r="K49" s="25">
        <v>2000</v>
      </c>
    </row>
    <row r="50" spans="1:11" ht="18">
      <c r="A50" s="15" t="s">
        <v>5</v>
      </c>
      <c r="B50" s="16" t="s">
        <v>13</v>
      </c>
      <c r="C50" s="18">
        <v>2000</v>
      </c>
      <c r="D50" s="18">
        <v>2000</v>
      </c>
      <c r="E50" s="18">
        <v>2000</v>
      </c>
      <c r="F50" s="18">
        <v>2000</v>
      </c>
      <c r="G50" s="18">
        <v>2000</v>
      </c>
      <c r="H50" s="18">
        <v>2000</v>
      </c>
      <c r="I50" s="18">
        <v>2000</v>
      </c>
      <c r="J50" s="25">
        <v>2000</v>
      </c>
      <c r="K50" s="25">
        <v>2000</v>
      </c>
    </row>
    <row r="51" spans="1:11" ht="18">
      <c r="A51" s="15" t="s">
        <v>5</v>
      </c>
      <c r="B51" s="16" t="s">
        <v>14</v>
      </c>
      <c r="C51" s="18">
        <v>1599.9999999999998</v>
      </c>
      <c r="D51" s="18">
        <v>1599.9999999999998</v>
      </c>
      <c r="E51" s="18">
        <v>1599.9999999999998</v>
      </c>
      <c r="F51" s="18">
        <v>1599.9999999999998</v>
      </c>
      <c r="G51" s="18">
        <v>1599.9999999999998</v>
      </c>
      <c r="H51" s="18">
        <v>1599.9999999999998</v>
      </c>
      <c r="I51" s="18">
        <v>1599.9999999999998</v>
      </c>
      <c r="J51" s="25">
        <v>1599.9999999999998</v>
      </c>
      <c r="K51" s="25">
        <v>1599.9999999999998</v>
      </c>
    </row>
    <row r="52" spans="1:11" ht="18">
      <c r="A52" s="15" t="s">
        <v>6</v>
      </c>
      <c r="B52" s="16" t="s">
        <v>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25">
        <v>0</v>
      </c>
      <c r="K52" s="25">
        <v>0</v>
      </c>
    </row>
    <row r="53" spans="1:11" ht="18">
      <c r="A53" s="15" t="s">
        <v>6</v>
      </c>
      <c r="B53" s="16" t="s">
        <v>9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25">
        <v>0</v>
      </c>
      <c r="K53" s="25">
        <v>0</v>
      </c>
    </row>
    <row r="54" spans="1:11" ht="18">
      <c r="A54" s="15" t="s">
        <v>6</v>
      </c>
      <c r="B54" s="16" t="s">
        <v>10</v>
      </c>
      <c r="C54" s="18">
        <v>200</v>
      </c>
      <c r="D54" s="18">
        <v>200</v>
      </c>
      <c r="E54" s="18">
        <v>200</v>
      </c>
      <c r="F54" s="18">
        <v>200</v>
      </c>
      <c r="G54" s="18">
        <v>200</v>
      </c>
      <c r="H54" s="18">
        <v>200</v>
      </c>
      <c r="I54" s="18">
        <v>200</v>
      </c>
      <c r="J54" s="25">
        <v>200</v>
      </c>
      <c r="K54" s="25">
        <v>200</v>
      </c>
    </row>
    <row r="55" spans="1:11" ht="18">
      <c r="A55" s="15" t="s">
        <v>6</v>
      </c>
      <c r="B55" s="16" t="s">
        <v>11</v>
      </c>
      <c r="C55" s="18">
        <v>200</v>
      </c>
      <c r="D55" s="18">
        <v>200</v>
      </c>
      <c r="E55" s="18">
        <v>200</v>
      </c>
      <c r="F55" s="18">
        <v>200</v>
      </c>
      <c r="G55" s="18">
        <v>200</v>
      </c>
      <c r="H55" s="18">
        <v>200</v>
      </c>
      <c r="I55" s="18">
        <v>200</v>
      </c>
      <c r="J55" s="25">
        <v>200</v>
      </c>
      <c r="K55" s="25">
        <v>200</v>
      </c>
    </row>
    <row r="56" spans="1:11" ht="18">
      <c r="A56" s="15" t="s">
        <v>6</v>
      </c>
      <c r="B56" s="16" t="s">
        <v>12</v>
      </c>
      <c r="C56" s="18">
        <v>1000</v>
      </c>
      <c r="D56" s="18">
        <v>1000</v>
      </c>
      <c r="E56" s="18">
        <v>1000</v>
      </c>
      <c r="F56" s="18">
        <v>1000</v>
      </c>
      <c r="G56" s="18">
        <v>1000</v>
      </c>
      <c r="H56" s="18">
        <v>1000</v>
      </c>
      <c r="I56" s="18">
        <v>1000</v>
      </c>
      <c r="J56" s="25">
        <v>1000</v>
      </c>
      <c r="K56" s="25">
        <v>1000</v>
      </c>
    </row>
    <row r="57" spans="1:11" ht="18">
      <c r="A57" s="15" t="s">
        <v>6</v>
      </c>
      <c r="B57" s="16" t="s">
        <v>13</v>
      </c>
      <c r="C57" s="18">
        <v>280.00000000000023</v>
      </c>
      <c r="D57" s="18">
        <v>280.00000000000023</v>
      </c>
      <c r="E57" s="18">
        <v>280.00000000000023</v>
      </c>
      <c r="F57" s="18">
        <v>280.00000000000023</v>
      </c>
      <c r="G57" s="18">
        <v>280.00000000000023</v>
      </c>
      <c r="H57" s="18">
        <v>280.00000000000023</v>
      </c>
      <c r="I57" s="18">
        <v>280.00000000000023</v>
      </c>
      <c r="J57" s="25">
        <v>280.00000000000023</v>
      </c>
      <c r="K57" s="25">
        <v>280.00000000000023</v>
      </c>
    </row>
    <row r="58" spans="1:11" ht="18">
      <c r="A58" s="15" t="s">
        <v>6</v>
      </c>
      <c r="B58" s="16" t="s">
        <v>14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25">
        <v>0</v>
      </c>
      <c r="K58" s="25">
        <v>0</v>
      </c>
    </row>
    <row r="59" spans="1:11" ht="18">
      <c r="A59" s="15" t="s">
        <v>9</v>
      </c>
      <c r="B59" s="16" t="s">
        <v>5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25">
        <v>0</v>
      </c>
      <c r="K59" s="25">
        <v>0</v>
      </c>
    </row>
    <row r="60" spans="1:11" ht="18">
      <c r="A60" s="15" t="s">
        <v>9</v>
      </c>
      <c r="B60" s="16" t="s">
        <v>6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25">
        <v>0</v>
      </c>
      <c r="K60" s="25">
        <v>0</v>
      </c>
    </row>
    <row r="61" spans="1:11" ht="18">
      <c r="A61" s="15" t="s">
        <v>9</v>
      </c>
      <c r="B61" s="16" t="s">
        <v>10</v>
      </c>
      <c r="C61" s="18">
        <v>1100</v>
      </c>
      <c r="D61" s="18">
        <v>1100</v>
      </c>
      <c r="E61" s="18">
        <v>1100</v>
      </c>
      <c r="F61" s="18">
        <v>1100</v>
      </c>
      <c r="G61" s="18">
        <v>1100</v>
      </c>
      <c r="H61" s="18">
        <v>1100</v>
      </c>
      <c r="I61" s="18">
        <v>1100</v>
      </c>
      <c r="J61" s="25">
        <v>1100</v>
      </c>
      <c r="K61" s="25">
        <v>1100</v>
      </c>
    </row>
    <row r="62" spans="1:11" ht="18">
      <c r="A62" s="15" t="s">
        <v>9</v>
      </c>
      <c r="B62" s="16" t="s">
        <v>11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25">
        <v>0</v>
      </c>
      <c r="K62" s="25">
        <v>0</v>
      </c>
    </row>
    <row r="63" spans="1:11" ht="18">
      <c r="A63" s="15" t="s">
        <v>9</v>
      </c>
      <c r="B63" s="16" t="s">
        <v>12</v>
      </c>
      <c r="C63" s="18">
        <v>2500</v>
      </c>
      <c r="D63" s="18">
        <v>2500</v>
      </c>
      <c r="E63" s="18">
        <v>2500</v>
      </c>
      <c r="F63" s="18">
        <v>2500</v>
      </c>
      <c r="G63" s="18">
        <v>2500</v>
      </c>
      <c r="H63" s="18">
        <v>2500</v>
      </c>
      <c r="I63" s="18">
        <v>2500</v>
      </c>
      <c r="J63" s="25">
        <v>2500</v>
      </c>
      <c r="K63" s="25">
        <v>2500</v>
      </c>
    </row>
    <row r="64" spans="1:11" ht="18">
      <c r="A64" s="15" t="s">
        <v>9</v>
      </c>
      <c r="B64" s="16" t="s">
        <v>13</v>
      </c>
      <c r="C64" s="18">
        <v>1000</v>
      </c>
      <c r="D64" s="18">
        <v>1000</v>
      </c>
      <c r="E64" s="18">
        <v>1000</v>
      </c>
      <c r="F64" s="18">
        <v>1000</v>
      </c>
      <c r="G64" s="18">
        <v>1000</v>
      </c>
      <c r="H64" s="18">
        <v>1000</v>
      </c>
      <c r="I64" s="18">
        <v>1000</v>
      </c>
      <c r="J64" s="25">
        <v>1000</v>
      </c>
      <c r="K64" s="25">
        <v>1000</v>
      </c>
    </row>
    <row r="65" spans="1:11" ht="18">
      <c r="A65" s="15" t="s">
        <v>9</v>
      </c>
      <c r="B65" s="16" t="s">
        <v>14</v>
      </c>
      <c r="C65" s="18">
        <v>1000</v>
      </c>
      <c r="D65" s="18">
        <v>1000</v>
      </c>
      <c r="E65" s="18">
        <v>1000</v>
      </c>
      <c r="F65" s="18">
        <v>1000</v>
      </c>
      <c r="G65" s="18">
        <v>1000</v>
      </c>
      <c r="H65" s="18">
        <v>1000</v>
      </c>
      <c r="I65" s="18">
        <v>1000</v>
      </c>
      <c r="J65" s="25">
        <v>1000</v>
      </c>
      <c r="K65" s="25">
        <v>1000</v>
      </c>
    </row>
    <row r="66" spans="1:11" ht="18">
      <c r="A66" s="15" t="s">
        <v>11</v>
      </c>
      <c r="B66" s="16" t="s">
        <v>10</v>
      </c>
      <c r="C66" s="18">
        <v>2200</v>
      </c>
      <c r="D66" s="18">
        <v>2200</v>
      </c>
      <c r="E66" s="18">
        <v>2200</v>
      </c>
      <c r="F66" s="18">
        <v>2200</v>
      </c>
      <c r="G66" s="18">
        <v>2200</v>
      </c>
      <c r="H66" s="18">
        <v>2200</v>
      </c>
      <c r="I66" s="18">
        <v>2200</v>
      </c>
      <c r="J66" s="25">
        <v>2200</v>
      </c>
      <c r="K66" s="25">
        <v>2200</v>
      </c>
    </row>
    <row r="67" spans="1:11" ht="18">
      <c r="A67" s="15" t="s">
        <v>11</v>
      </c>
      <c r="B67" s="16" t="s">
        <v>12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25">
        <v>0</v>
      </c>
      <c r="K67" s="25">
        <v>0</v>
      </c>
    </row>
    <row r="68" spans="1:11" ht="18">
      <c r="A68" s="15" t="s">
        <v>11</v>
      </c>
      <c r="B68" s="16" t="s">
        <v>13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5">
        <v>0</v>
      </c>
      <c r="K68" s="25">
        <v>0</v>
      </c>
    </row>
    <row r="69" spans="1:11" ht="18">
      <c r="A69" s="15" t="s">
        <v>11</v>
      </c>
      <c r="B69" s="16" t="s">
        <v>14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25">
        <v>0</v>
      </c>
      <c r="K69" s="25">
        <v>0</v>
      </c>
    </row>
    <row r="70" spans="1:11" ht="18">
      <c r="A70" s="15" t="s">
        <v>12</v>
      </c>
      <c r="B70" s="16" t="s">
        <v>10</v>
      </c>
      <c r="C70" s="18">
        <v>8780</v>
      </c>
      <c r="D70" s="18">
        <v>8780</v>
      </c>
      <c r="E70" s="18">
        <v>8780</v>
      </c>
      <c r="F70" s="18">
        <v>5500</v>
      </c>
      <c r="G70" s="18">
        <v>5500</v>
      </c>
      <c r="H70" s="18">
        <v>5500</v>
      </c>
      <c r="I70" s="18">
        <v>5500</v>
      </c>
      <c r="J70" s="25">
        <v>0</v>
      </c>
      <c r="K70" s="25">
        <v>0</v>
      </c>
    </row>
    <row r="71" spans="1:11" ht="18">
      <c r="A71" s="15" t="s">
        <v>12</v>
      </c>
      <c r="B71" s="16" t="s">
        <v>32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25">
        <v>0</v>
      </c>
      <c r="K71" s="25">
        <v>0</v>
      </c>
    </row>
    <row r="72" spans="1:11" ht="18">
      <c r="A72" s="15" t="s">
        <v>12</v>
      </c>
      <c r="B72" s="16" t="s">
        <v>13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25">
        <v>5500</v>
      </c>
      <c r="K72" s="25">
        <v>5500</v>
      </c>
    </row>
    <row r="73" spans="1:11" ht="18">
      <c r="A73" s="15" t="s">
        <v>12</v>
      </c>
      <c r="B73" s="16" t="s">
        <v>14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25">
        <v>0</v>
      </c>
      <c r="K73" s="25">
        <v>0</v>
      </c>
    </row>
    <row r="74" spans="1:11" ht="18">
      <c r="A74" s="15" t="s">
        <v>13</v>
      </c>
      <c r="B74" s="16" t="s">
        <v>10</v>
      </c>
      <c r="C74" s="18">
        <v>0</v>
      </c>
      <c r="D74" s="18">
        <v>0</v>
      </c>
      <c r="E74" s="18">
        <v>0</v>
      </c>
      <c r="F74" s="18">
        <v>3280</v>
      </c>
      <c r="G74" s="18">
        <v>3280</v>
      </c>
      <c r="H74" s="18">
        <v>3280</v>
      </c>
      <c r="I74" s="18">
        <v>3280</v>
      </c>
      <c r="J74" s="25">
        <v>8780</v>
      </c>
      <c r="K74" s="25">
        <v>8780</v>
      </c>
    </row>
    <row r="75" spans="1:11" ht="18">
      <c r="A75" s="15" t="s">
        <v>13</v>
      </c>
      <c r="B75" s="16" t="s">
        <v>32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25">
        <v>0</v>
      </c>
      <c r="K75" s="25">
        <v>0</v>
      </c>
    </row>
    <row r="76" spans="1:11" ht="18">
      <c r="A76" s="15" t="s">
        <v>13</v>
      </c>
      <c r="B76" s="16" t="s">
        <v>12</v>
      </c>
      <c r="C76" s="18">
        <v>3280</v>
      </c>
      <c r="D76" s="18">
        <v>3280</v>
      </c>
      <c r="E76" s="18">
        <v>3280</v>
      </c>
      <c r="F76" s="18">
        <v>0</v>
      </c>
      <c r="G76" s="18">
        <v>0</v>
      </c>
      <c r="H76" s="18">
        <v>0</v>
      </c>
      <c r="I76" s="18">
        <v>0</v>
      </c>
      <c r="J76" s="25">
        <v>0</v>
      </c>
      <c r="K76" s="25">
        <v>0</v>
      </c>
    </row>
    <row r="77" spans="1:11" ht="18">
      <c r="A77" s="15" t="s">
        <v>13</v>
      </c>
      <c r="B77" s="16" t="s">
        <v>14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25">
        <v>0</v>
      </c>
      <c r="K77" s="25">
        <v>0</v>
      </c>
    </row>
    <row r="78" spans="1:11" ht="18">
      <c r="A78" s="15" t="s">
        <v>14</v>
      </c>
      <c r="B78" s="16" t="s">
        <v>10</v>
      </c>
      <c r="C78" s="18">
        <v>2599.9999999999995</v>
      </c>
      <c r="D78" s="18">
        <v>2599.9999999999995</v>
      </c>
      <c r="E78" s="18">
        <v>2599.9999999999995</v>
      </c>
      <c r="F78" s="18">
        <v>2599.9999999999995</v>
      </c>
      <c r="G78" s="18">
        <v>2599.9999999999995</v>
      </c>
      <c r="H78" s="18">
        <v>2599.9999999999995</v>
      </c>
      <c r="I78" s="18">
        <v>2599.9999999999995</v>
      </c>
      <c r="J78" s="25">
        <v>2599.9999999999995</v>
      </c>
      <c r="K78" s="25">
        <v>2599.9999999999995</v>
      </c>
    </row>
    <row r="79" spans="1:11" ht="18">
      <c r="A79" s="15" t="s">
        <v>14</v>
      </c>
      <c r="B79" s="16" t="s">
        <v>32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25">
        <v>0</v>
      </c>
      <c r="K79" s="25">
        <v>0</v>
      </c>
    </row>
    <row r="80" spans="1:11" ht="18">
      <c r="A80" s="15" t="s">
        <v>14</v>
      </c>
      <c r="B80" s="16" t="s">
        <v>12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25">
        <v>0</v>
      </c>
      <c r="K80" s="25">
        <v>0</v>
      </c>
    </row>
    <row r="81" spans="1:11" ht="19" thickBot="1">
      <c r="A81" s="19" t="s">
        <v>14</v>
      </c>
      <c r="B81" s="20" t="s">
        <v>13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</row>
    <row r="82" spans="1:11" ht="16" thickTop="1" thickBot="1">
      <c r="A82" s="75" t="s">
        <v>124</v>
      </c>
      <c r="B82" s="76"/>
      <c r="C82" s="22">
        <v>78.873999999999995</v>
      </c>
      <c r="D82" s="22">
        <v>79.751999999999995</v>
      </c>
      <c r="E82" s="22">
        <v>80.63</v>
      </c>
      <c r="F82" s="22">
        <v>81.179999999999993</v>
      </c>
      <c r="G82" s="22">
        <v>83.38</v>
      </c>
      <c r="H82" s="22">
        <v>85.58</v>
      </c>
      <c r="I82" s="22">
        <v>86.13</v>
      </c>
      <c r="J82" s="22">
        <v>86.13</v>
      </c>
      <c r="K82" s="22">
        <v>86.13</v>
      </c>
    </row>
    <row r="86" spans="1:11" ht="18">
      <c r="A86" s="72" t="s">
        <v>121</v>
      </c>
      <c r="B86" s="73" t="s">
        <v>122</v>
      </c>
      <c r="C86" s="74" t="s">
        <v>126</v>
      </c>
      <c r="D86" s="74"/>
      <c r="E86" s="74"/>
      <c r="F86" s="74"/>
      <c r="G86" s="74"/>
      <c r="H86" s="74"/>
      <c r="I86" s="61"/>
      <c r="J86" s="61"/>
      <c r="K86" s="61"/>
    </row>
    <row r="87" spans="1:11">
      <c r="A87" s="72"/>
      <c r="B87" s="73"/>
      <c r="C87" s="62">
        <v>4.0000000000000001E-3</v>
      </c>
      <c r="D87" s="62">
        <v>5.0000000000000001E-3</v>
      </c>
      <c r="E87" s="62">
        <v>6.0000000000000001E-3</v>
      </c>
      <c r="F87" s="62">
        <v>7.0000000000000001E-3</v>
      </c>
      <c r="G87" s="62">
        <v>8.0000000000000002E-3</v>
      </c>
      <c r="H87" s="62">
        <v>9.0000000000000011E-3</v>
      </c>
      <c r="I87" s="63"/>
      <c r="J87" s="64"/>
      <c r="K87" s="64"/>
    </row>
    <row r="88" spans="1:11" ht="18">
      <c r="A88" s="15" t="s">
        <v>5</v>
      </c>
      <c r="B88" s="16" t="s">
        <v>6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</row>
    <row r="89" spans="1:11" ht="18">
      <c r="A89" s="15" t="s">
        <v>5</v>
      </c>
      <c r="B89" s="16" t="s">
        <v>9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</row>
    <row r="90" spans="1:11" ht="18">
      <c r="A90" s="15" t="s">
        <v>5</v>
      </c>
      <c r="B90" s="16" t="s">
        <v>10</v>
      </c>
      <c r="C90" s="18">
        <v>2000</v>
      </c>
      <c r="D90" s="18">
        <v>2000</v>
      </c>
      <c r="E90" s="18">
        <v>2000</v>
      </c>
      <c r="F90" s="18">
        <v>0</v>
      </c>
      <c r="G90" s="18">
        <v>0</v>
      </c>
      <c r="H90" s="18">
        <v>0</v>
      </c>
    </row>
    <row r="91" spans="1:11" ht="18">
      <c r="A91" s="15" t="s">
        <v>5</v>
      </c>
      <c r="B91" s="16" t="s">
        <v>11</v>
      </c>
      <c r="C91" s="18">
        <v>2000</v>
      </c>
      <c r="D91" s="18">
        <v>2000</v>
      </c>
      <c r="E91" s="18">
        <v>2000</v>
      </c>
      <c r="F91" s="18">
        <v>2000</v>
      </c>
      <c r="G91" s="18">
        <v>2000</v>
      </c>
      <c r="H91" s="18">
        <v>2000</v>
      </c>
    </row>
    <row r="92" spans="1:11" ht="18">
      <c r="A92" s="15" t="s">
        <v>5</v>
      </c>
      <c r="B92" s="16" t="s">
        <v>12</v>
      </c>
      <c r="C92" s="18">
        <v>2000</v>
      </c>
      <c r="D92" s="18">
        <v>2000</v>
      </c>
      <c r="E92" s="18">
        <v>2000</v>
      </c>
      <c r="F92" s="18">
        <v>2000</v>
      </c>
      <c r="G92" s="18">
        <v>2000</v>
      </c>
      <c r="H92" s="18">
        <v>2000</v>
      </c>
    </row>
    <row r="93" spans="1:11" ht="18">
      <c r="A93" s="15" t="s">
        <v>5</v>
      </c>
      <c r="B93" s="16" t="s">
        <v>13</v>
      </c>
      <c r="C93" s="18">
        <v>2000</v>
      </c>
      <c r="D93" s="18">
        <v>2000</v>
      </c>
      <c r="E93" s="18">
        <v>2000</v>
      </c>
      <c r="F93" s="18">
        <v>2000</v>
      </c>
      <c r="G93" s="18">
        <v>2000</v>
      </c>
      <c r="H93" s="18">
        <v>2000</v>
      </c>
    </row>
    <row r="94" spans="1:11" ht="18">
      <c r="A94" s="15" t="s">
        <v>5</v>
      </c>
      <c r="B94" s="16" t="s">
        <v>14</v>
      </c>
      <c r="C94" s="18">
        <v>1599.9999999999998</v>
      </c>
      <c r="D94" s="18">
        <v>1599.9999999999998</v>
      </c>
      <c r="E94" s="18">
        <v>1599.9999999999998</v>
      </c>
      <c r="F94" s="18">
        <v>3600</v>
      </c>
      <c r="G94" s="18">
        <v>3600</v>
      </c>
      <c r="H94" s="18">
        <v>3600</v>
      </c>
    </row>
    <row r="95" spans="1:11" ht="18">
      <c r="A95" s="15" t="s">
        <v>6</v>
      </c>
      <c r="B95" s="16" t="s">
        <v>5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</row>
    <row r="96" spans="1:11" ht="18">
      <c r="A96" s="15" t="s">
        <v>6</v>
      </c>
      <c r="B96" s="16" t="s">
        <v>9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</row>
    <row r="97" spans="1:8" ht="18">
      <c r="A97" s="15" t="s">
        <v>6</v>
      </c>
      <c r="B97" s="16" t="s">
        <v>10</v>
      </c>
      <c r="C97" s="18">
        <v>200</v>
      </c>
      <c r="D97" s="18">
        <v>200</v>
      </c>
      <c r="E97" s="18">
        <v>200</v>
      </c>
      <c r="F97" s="18">
        <v>200</v>
      </c>
      <c r="G97" s="18">
        <v>200</v>
      </c>
      <c r="H97" s="18">
        <v>200</v>
      </c>
    </row>
    <row r="98" spans="1:8" ht="18">
      <c r="A98" s="15" t="s">
        <v>6</v>
      </c>
      <c r="B98" s="16" t="s">
        <v>11</v>
      </c>
      <c r="C98" s="18">
        <v>200</v>
      </c>
      <c r="D98" s="18">
        <v>200</v>
      </c>
      <c r="E98" s="18">
        <v>200</v>
      </c>
      <c r="F98" s="18">
        <v>200</v>
      </c>
      <c r="G98" s="18">
        <v>200</v>
      </c>
      <c r="H98" s="18">
        <v>200</v>
      </c>
    </row>
    <row r="99" spans="1:8" ht="18">
      <c r="A99" s="15" t="s">
        <v>6</v>
      </c>
      <c r="B99" s="16" t="s">
        <v>12</v>
      </c>
      <c r="C99" s="18">
        <v>1000</v>
      </c>
      <c r="D99" s="18">
        <v>1000</v>
      </c>
      <c r="E99" s="18">
        <v>1000</v>
      </c>
      <c r="F99" s="18">
        <v>1000</v>
      </c>
      <c r="G99" s="18">
        <v>1000</v>
      </c>
      <c r="H99" s="18">
        <v>1000</v>
      </c>
    </row>
    <row r="100" spans="1:8" ht="18">
      <c r="A100" s="15" t="s">
        <v>6</v>
      </c>
      <c r="B100" s="16" t="s">
        <v>13</v>
      </c>
      <c r="C100" s="18">
        <v>280.00000000000023</v>
      </c>
      <c r="D100" s="18">
        <v>280.00000000000023</v>
      </c>
      <c r="E100" s="18">
        <v>280.00000000000023</v>
      </c>
      <c r="F100" s="18">
        <v>280.00000000000023</v>
      </c>
      <c r="G100" s="18">
        <v>280.00000000000023</v>
      </c>
      <c r="H100" s="18">
        <v>280.00000000000023</v>
      </c>
    </row>
    <row r="101" spans="1:8" ht="18">
      <c r="A101" s="15" t="s">
        <v>6</v>
      </c>
      <c r="B101" s="16" t="s">
        <v>14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</row>
    <row r="102" spans="1:8" ht="18">
      <c r="A102" s="15" t="s">
        <v>9</v>
      </c>
      <c r="B102" s="16" t="s">
        <v>5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</row>
    <row r="103" spans="1:8" ht="18">
      <c r="A103" s="15" t="s">
        <v>9</v>
      </c>
      <c r="B103" s="16" t="s">
        <v>6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</row>
    <row r="104" spans="1:8" ht="18">
      <c r="A104" s="15" t="s">
        <v>9</v>
      </c>
      <c r="B104" s="16" t="s">
        <v>10</v>
      </c>
      <c r="C104" s="18">
        <v>1100</v>
      </c>
      <c r="D104" s="18">
        <v>1100</v>
      </c>
      <c r="E104" s="18">
        <v>1100</v>
      </c>
      <c r="F104" s="18">
        <v>1100</v>
      </c>
      <c r="G104" s="18">
        <v>1100</v>
      </c>
      <c r="H104" s="18">
        <v>1100</v>
      </c>
    </row>
    <row r="105" spans="1:8" ht="18">
      <c r="A105" s="15" t="s">
        <v>9</v>
      </c>
      <c r="B105" s="16" t="s">
        <v>11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</row>
    <row r="106" spans="1:8" ht="18">
      <c r="A106" s="15" t="s">
        <v>9</v>
      </c>
      <c r="B106" s="16" t="s">
        <v>12</v>
      </c>
      <c r="C106" s="18">
        <v>2500</v>
      </c>
      <c r="D106" s="18">
        <v>2500</v>
      </c>
      <c r="E106" s="18">
        <v>2500</v>
      </c>
      <c r="F106" s="18">
        <v>2500</v>
      </c>
      <c r="G106" s="18">
        <v>2500</v>
      </c>
      <c r="H106" s="18">
        <v>2500</v>
      </c>
    </row>
    <row r="107" spans="1:8" ht="18">
      <c r="A107" s="15" t="s">
        <v>9</v>
      </c>
      <c r="B107" s="16" t="s">
        <v>13</v>
      </c>
      <c r="C107" s="18">
        <v>1000</v>
      </c>
      <c r="D107" s="18">
        <v>1000</v>
      </c>
      <c r="E107" s="18">
        <v>1000</v>
      </c>
      <c r="F107" s="18">
        <v>1000</v>
      </c>
      <c r="G107" s="18">
        <v>1000</v>
      </c>
      <c r="H107" s="18">
        <v>1000</v>
      </c>
    </row>
    <row r="108" spans="1:8" ht="18">
      <c r="A108" s="15" t="s">
        <v>9</v>
      </c>
      <c r="B108" s="16" t="s">
        <v>14</v>
      </c>
      <c r="C108" s="18">
        <v>1000</v>
      </c>
      <c r="D108" s="18">
        <v>1000</v>
      </c>
      <c r="E108" s="18">
        <v>1000</v>
      </c>
      <c r="F108" s="18">
        <v>1000</v>
      </c>
      <c r="G108" s="18">
        <v>1000</v>
      </c>
      <c r="H108" s="18">
        <v>1000</v>
      </c>
    </row>
    <row r="109" spans="1:8" ht="18">
      <c r="A109" s="15" t="s">
        <v>11</v>
      </c>
      <c r="B109" s="16" t="s">
        <v>10</v>
      </c>
      <c r="C109" s="18">
        <v>2200</v>
      </c>
      <c r="D109" s="18">
        <v>2200</v>
      </c>
      <c r="E109" s="18">
        <v>2200</v>
      </c>
      <c r="F109" s="18">
        <v>2200</v>
      </c>
      <c r="G109" s="18">
        <v>2200</v>
      </c>
      <c r="H109" s="18">
        <v>2200</v>
      </c>
    </row>
    <row r="110" spans="1:8" ht="18">
      <c r="A110" s="15" t="s">
        <v>11</v>
      </c>
      <c r="B110" s="16" t="s">
        <v>12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</row>
    <row r="111" spans="1:8" ht="18">
      <c r="A111" s="15" t="s">
        <v>11</v>
      </c>
      <c r="B111" s="16" t="s">
        <v>13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</row>
    <row r="112" spans="1:8" ht="18">
      <c r="A112" s="15" t="s">
        <v>11</v>
      </c>
      <c r="B112" s="16" t="s">
        <v>14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</row>
    <row r="113" spans="1:11" ht="18">
      <c r="A113" s="15" t="s">
        <v>12</v>
      </c>
      <c r="B113" s="16" t="s">
        <v>10</v>
      </c>
      <c r="C113" s="18">
        <v>5500</v>
      </c>
      <c r="D113" s="18">
        <v>5500</v>
      </c>
      <c r="E113" s="18">
        <v>5500</v>
      </c>
      <c r="F113" s="18">
        <v>5500</v>
      </c>
      <c r="G113" s="18">
        <v>5500</v>
      </c>
      <c r="H113" s="18">
        <v>5500</v>
      </c>
    </row>
    <row r="114" spans="1:11" ht="18">
      <c r="A114" s="15" t="s">
        <v>12</v>
      </c>
      <c r="B114" s="16" t="s">
        <v>32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</row>
    <row r="115" spans="1:11" ht="18">
      <c r="A115" s="15" t="s">
        <v>12</v>
      </c>
      <c r="B115" s="16" t="s">
        <v>13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</row>
    <row r="116" spans="1:11" ht="18">
      <c r="A116" s="15" t="s">
        <v>12</v>
      </c>
      <c r="B116" s="16" t="s">
        <v>14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</row>
    <row r="117" spans="1:11" ht="18">
      <c r="A117" s="15" t="s">
        <v>13</v>
      </c>
      <c r="B117" s="16" t="s">
        <v>10</v>
      </c>
      <c r="C117" s="18">
        <v>3280</v>
      </c>
      <c r="D117" s="18">
        <v>3280</v>
      </c>
      <c r="E117" s="18">
        <v>3280</v>
      </c>
      <c r="F117" s="18">
        <v>3280</v>
      </c>
      <c r="G117" s="18">
        <v>3280</v>
      </c>
      <c r="H117" s="18">
        <v>3280</v>
      </c>
    </row>
    <row r="118" spans="1:11" ht="18">
      <c r="A118" s="15" t="s">
        <v>13</v>
      </c>
      <c r="B118" s="16" t="s">
        <v>32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</row>
    <row r="119" spans="1:11" ht="18">
      <c r="A119" s="15" t="s">
        <v>13</v>
      </c>
      <c r="B119" s="16" t="s">
        <v>12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</row>
    <row r="120" spans="1:11" ht="18">
      <c r="A120" s="15" t="s">
        <v>13</v>
      </c>
      <c r="B120" s="16" t="s">
        <v>14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</row>
    <row r="121" spans="1:11" ht="18">
      <c r="A121" s="15" t="s">
        <v>14</v>
      </c>
      <c r="B121" s="16" t="s">
        <v>10</v>
      </c>
      <c r="C121" s="18">
        <v>2599.9999999999995</v>
      </c>
      <c r="D121" s="18">
        <v>2599.9999999999995</v>
      </c>
      <c r="E121" s="18">
        <v>2599.9999999999995</v>
      </c>
      <c r="F121" s="18">
        <v>4600</v>
      </c>
      <c r="G121" s="18">
        <v>4600</v>
      </c>
      <c r="H121" s="18">
        <v>4600</v>
      </c>
    </row>
    <row r="122" spans="1:11" ht="18">
      <c r="A122" s="15" t="s">
        <v>14</v>
      </c>
      <c r="B122" s="16" t="s">
        <v>32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</row>
    <row r="123" spans="1:11" ht="18">
      <c r="A123" s="15" t="s">
        <v>14</v>
      </c>
      <c r="B123" s="16" t="s">
        <v>12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</row>
    <row r="124" spans="1:11" ht="19" thickBot="1">
      <c r="A124" s="19" t="s">
        <v>14</v>
      </c>
      <c r="B124" s="20" t="s">
        <v>13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65">
        <v>0</v>
      </c>
    </row>
    <row r="125" spans="1:11" ht="16" thickTop="1" thickBot="1">
      <c r="A125" s="75" t="s">
        <v>124</v>
      </c>
      <c r="B125" s="76"/>
      <c r="C125" s="22">
        <v>83.38</v>
      </c>
      <c r="D125" s="22">
        <v>85.38</v>
      </c>
      <c r="E125" s="22">
        <v>87.38</v>
      </c>
      <c r="F125" s="22">
        <v>87.38</v>
      </c>
      <c r="G125" s="22">
        <v>87.38</v>
      </c>
      <c r="H125" s="22">
        <v>87.38</v>
      </c>
      <c r="I125" s="66"/>
      <c r="J125" s="66"/>
      <c r="K125" s="66"/>
    </row>
  </sheetData>
  <mergeCells count="12">
    <mergeCell ref="A86:A87"/>
    <mergeCell ref="B86:B87"/>
    <mergeCell ref="C86:H86"/>
    <mergeCell ref="A125:B125"/>
    <mergeCell ref="C1:I1"/>
    <mergeCell ref="A40:B40"/>
    <mergeCell ref="C43:K43"/>
    <mergeCell ref="A82:B82"/>
    <mergeCell ref="A1:A2"/>
    <mergeCell ref="A43:A44"/>
    <mergeCell ref="B1:B2"/>
    <mergeCell ref="B43:B44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1581-2CB8-6F44-B1C5-615229C61ACF}">
  <dimension ref="A1:L47"/>
  <sheetViews>
    <sheetView tabSelected="1" zoomScale="86" zoomScaleNormal="86" workbookViewId="0">
      <selection activeCell="P13" sqref="P13"/>
    </sheetView>
  </sheetViews>
  <sheetFormatPr baseColWidth="10" defaultRowHeight="14"/>
  <cols>
    <col min="1" max="16384" width="10.83203125" style="77"/>
  </cols>
  <sheetData>
    <row r="1" spans="1:12" ht="18">
      <c r="A1" s="90" t="s">
        <v>121</v>
      </c>
      <c r="B1" s="89" t="s">
        <v>122</v>
      </c>
      <c r="C1" s="91" t="s">
        <v>128</v>
      </c>
      <c r="D1" s="91"/>
      <c r="E1" s="91"/>
      <c r="F1" s="91"/>
      <c r="G1" s="91"/>
      <c r="H1" s="91"/>
      <c r="I1" s="91"/>
      <c r="J1" s="91"/>
      <c r="K1" s="91"/>
      <c r="L1" s="91"/>
    </row>
    <row r="2" spans="1:12">
      <c r="A2" s="90"/>
      <c r="B2" s="89"/>
      <c r="C2" s="88">
        <v>0.1</v>
      </c>
      <c r="D2" s="88">
        <v>0.2</v>
      </c>
      <c r="E2" s="88">
        <v>0.3</v>
      </c>
      <c r="F2" s="88">
        <v>0.4</v>
      </c>
      <c r="G2" s="88">
        <v>0.5</v>
      </c>
      <c r="H2" s="88">
        <v>0.6</v>
      </c>
      <c r="I2" s="87">
        <v>0.7</v>
      </c>
      <c r="J2" s="87">
        <v>0.8</v>
      </c>
      <c r="K2" s="87">
        <v>0.9</v>
      </c>
      <c r="L2" s="87">
        <v>1</v>
      </c>
    </row>
    <row r="3" spans="1:12" ht="18">
      <c r="A3" s="86" t="s">
        <v>5</v>
      </c>
      <c r="B3" s="85" t="s">
        <v>6</v>
      </c>
      <c r="C3" s="84">
        <v>0</v>
      </c>
      <c r="D3" s="84">
        <v>0</v>
      </c>
      <c r="E3" s="84">
        <v>0</v>
      </c>
      <c r="F3" s="84">
        <v>0</v>
      </c>
      <c r="G3" s="84">
        <v>0</v>
      </c>
      <c r="H3" s="84">
        <v>0</v>
      </c>
      <c r="I3" s="84">
        <v>0</v>
      </c>
      <c r="J3" s="84">
        <v>0</v>
      </c>
      <c r="K3" s="84">
        <v>0</v>
      </c>
      <c r="L3" s="84">
        <v>0</v>
      </c>
    </row>
    <row r="4" spans="1:12" ht="18">
      <c r="A4" s="86" t="s">
        <v>5</v>
      </c>
      <c r="B4" s="85" t="s">
        <v>9</v>
      </c>
      <c r="C4" s="84">
        <v>0</v>
      </c>
      <c r="D4" s="84">
        <v>0</v>
      </c>
      <c r="E4" s="84">
        <v>0</v>
      </c>
      <c r="F4" s="84">
        <v>0</v>
      </c>
      <c r="G4" s="84">
        <v>0</v>
      </c>
      <c r="H4" s="84">
        <v>0</v>
      </c>
      <c r="I4" s="84">
        <v>0</v>
      </c>
      <c r="J4" s="84">
        <v>0</v>
      </c>
      <c r="K4" s="84">
        <v>0</v>
      </c>
      <c r="L4" s="84">
        <v>0</v>
      </c>
    </row>
    <row r="5" spans="1:12" ht="18">
      <c r="A5" s="86" t="s">
        <v>5</v>
      </c>
      <c r="B5" s="85" t="s">
        <v>10</v>
      </c>
      <c r="C5" s="84">
        <v>2000</v>
      </c>
      <c r="D5" s="84">
        <v>2000</v>
      </c>
      <c r="E5" s="84">
        <v>2000</v>
      </c>
      <c r="F5" s="84">
        <v>2000</v>
      </c>
      <c r="G5" s="84">
        <v>2000</v>
      </c>
      <c r="H5" s="84">
        <v>2000</v>
      </c>
      <c r="I5" s="84">
        <v>2000</v>
      </c>
      <c r="J5" s="84">
        <v>2000</v>
      </c>
      <c r="K5" s="84">
        <v>2000</v>
      </c>
      <c r="L5" s="84">
        <v>2000</v>
      </c>
    </row>
    <row r="6" spans="1:12" ht="18">
      <c r="A6" s="86" t="s">
        <v>5</v>
      </c>
      <c r="B6" s="85" t="s">
        <v>11</v>
      </c>
      <c r="C6" s="84">
        <v>2000</v>
      </c>
      <c r="D6" s="84">
        <v>2000</v>
      </c>
      <c r="E6" s="84">
        <v>2000</v>
      </c>
      <c r="F6" s="84">
        <v>2000</v>
      </c>
      <c r="G6" s="84">
        <v>2000</v>
      </c>
      <c r="H6" s="84">
        <v>2000</v>
      </c>
      <c r="I6" s="84">
        <v>2000</v>
      </c>
      <c r="J6" s="84">
        <v>2000</v>
      </c>
      <c r="K6" s="84">
        <v>2000</v>
      </c>
      <c r="L6" s="84">
        <v>2000</v>
      </c>
    </row>
    <row r="7" spans="1:12" ht="18">
      <c r="A7" s="86" t="s">
        <v>5</v>
      </c>
      <c r="B7" s="85" t="s">
        <v>12</v>
      </c>
      <c r="C7" s="84">
        <v>2000</v>
      </c>
      <c r="D7" s="84">
        <v>2000</v>
      </c>
      <c r="E7" s="84">
        <v>2000</v>
      </c>
      <c r="F7" s="84">
        <v>2000</v>
      </c>
      <c r="G7" s="84">
        <v>2000</v>
      </c>
      <c r="H7" s="84">
        <v>2000</v>
      </c>
      <c r="I7" s="84">
        <v>2000</v>
      </c>
      <c r="J7" s="84">
        <v>2000</v>
      </c>
      <c r="K7" s="84">
        <v>2000</v>
      </c>
      <c r="L7" s="84">
        <v>2000</v>
      </c>
    </row>
    <row r="8" spans="1:12" ht="18">
      <c r="A8" s="86" t="s">
        <v>5</v>
      </c>
      <c r="B8" s="85" t="s">
        <v>13</v>
      </c>
      <c r="C8" s="84">
        <v>2000</v>
      </c>
      <c r="D8" s="84">
        <v>2000</v>
      </c>
      <c r="E8" s="84">
        <v>2000</v>
      </c>
      <c r="F8" s="84">
        <v>2000</v>
      </c>
      <c r="G8" s="84">
        <v>2000</v>
      </c>
      <c r="H8" s="84">
        <v>2000</v>
      </c>
      <c r="I8" s="84">
        <v>2000</v>
      </c>
      <c r="J8" s="84">
        <v>2000</v>
      </c>
      <c r="K8" s="84">
        <v>2000</v>
      </c>
      <c r="L8" s="84">
        <v>2000</v>
      </c>
    </row>
    <row r="9" spans="1:12" ht="18">
      <c r="A9" s="86" t="s">
        <v>5</v>
      </c>
      <c r="B9" s="85" t="s">
        <v>14</v>
      </c>
      <c r="C9" s="84">
        <v>1600</v>
      </c>
      <c r="D9" s="84">
        <v>1600</v>
      </c>
      <c r="E9" s="84">
        <v>1600</v>
      </c>
      <c r="F9" s="84">
        <v>1600</v>
      </c>
      <c r="G9" s="84">
        <v>1600</v>
      </c>
      <c r="H9" s="84">
        <v>1600</v>
      </c>
      <c r="I9" s="84">
        <v>1600</v>
      </c>
      <c r="J9" s="84">
        <v>1600</v>
      </c>
      <c r="K9" s="84">
        <v>1600</v>
      </c>
      <c r="L9" s="84">
        <v>1600</v>
      </c>
    </row>
    <row r="10" spans="1:12" ht="18">
      <c r="A10" s="86" t="s">
        <v>6</v>
      </c>
      <c r="B10" s="85" t="s">
        <v>5</v>
      </c>
      <c r="C10" s="84">
        <v>0</v>
      </c>
      <c r="D10" s="84">
        <v>0</v>
      </c>
      <c r="E10" s="84">
        <v>0</v>
      </c>
      <c r="F10" s="84">
        <v>0</v>
      </c>
      <c r="G10" s="84">
        <v>0</v>
      </c>
      <c r="H10" s="84">
        <v>0</v>
      </c>
      <c r="I10" s="84">
        <v>0</v>
      </c>
      <c r="J10" s="84">
        <v>0</v>
      </c>
      <c r="K10" s="84">
        <v>0</v>
      </c>
      <c r="L10" s="84">
        <v>0</v>
      </c>
    </row>
    <row r="11" spans="1:12" ht="18">
      <c r="A11" s="86" t="s">
        <v>6</v>
      </c>
      <c r="B11" s="85" t="s">
        <v>9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</row>
    <row r="12" spans="1:12" ht="18">
      <c r="A12" s="86" t="s">
        <v>6</v>
      </c>
      <c r="B12" s="85" t="s">
        <v>10</v>
      </c>
      <c r="C12" s="84">
        <v>200</v>
      </c>
      <c r="D12" s="84">
        <v>200</v>
      </c>
      <c r="E12" s="84">
        <v>200</v>
      </c>
      <c r="F12" s="84">
        <v>200</v>
      </c>
      <c r="G12" s="84">
        <v>200</v>
      </c>
      <c r="H12" s="84">
        <v>200</v>
      </c>
      <c r="I12" s="84">
        <v>200</v>
      </c>
      <c r="J12" s="84">
        <v>200</v>
      </c>
      <c r="K12" s="84">
        <v>200</v>
      </c>
      <c r="L12" s="84">
        <v>200</v>
      </c>
    </row>
    <row r="13" spans="1:12" ht="18">
      <c r="A13" s="86" t="s">
        <v>6</v>
      </c>
      <c r="B13" s="85" t="s">
        <v>11</v>
      </c>
      <c r="C13" s="84">
        <v>200</v>
      </c>
      <c r="D13" s="84">
        <v>200</v>
      </c>
      <c r="E13" s="84">
        <v>200</v>
      </c>
      <c r="F13" s="84">
        <v>200</v>
      </c>
      <c r="G13" s="84">
        <v>200</v>
      </c>
      <c r="H13" s="84">
        <v>200</v>
      </c>
      <c r="I13" s="84">
        <v>200</v>
      </c>
      <c r="J13" s="84">
        <v>200</v>
      </c>
      <c r="K13" s="84">
        <v>200</v>
      </c>
      <c r="L13" s="84">
        <v>200</v>
      </c>
    </row>
    <row r="14" spans="1:12" ht="18">
      <c r="A14" s="86" t="s">
        <v>6</v>
      </c>
      <c r="B14" s="85" t="s">
        <v>12</v>
      </c>
      <c r="C14" s="84">
        <v>1000</v>
      </c>
      <c r="D14" s="84">
        <v>1000</v>
      </c>
      <c r="E14" s="84">
        <v>1000</v>
      </c>
      <c r="F14" s="84">
        <v>1000</v>
      </c>
      <c r="G14" s="84">
        <v>1000</v>
      </c>
      <c r="H14" s="84">
        <v>1000</v>
      </c>
      <c r="I14" s="84">
        <v>1000</v>
      </c>
      <c r="J14" s="84">
        <v>1000</v>
      </c>
      <c r="K14" s="84">
        <v>1000</v>
      </c>
      <c r="L14" s="84">
        <v>1000</v>
      </c>
    </row>
    <row r="15" spans="1:12" ht="18">
      <c r="A15" s="86" t="s">
        <v>6</v>
      </c>
      <c r="B15" s="85" t="s">
        <v>13</v>
      </c>
      <c r="C15" s="84">
        <v>280.00000000000023</v>
      </c>
      <c r="D15" s="84">
        <v>280.00000000000023</v>
      </c>
      <c r="E15" s="84">
        <v>280.00000000000023</v>
      </c>
      <c r="F15" s="84">
        <v>280.00000000000023</v>
      </c>
      <c r="G15" s="84">
        <v>280.00000000000023</v>
      </c>
      <c r="H15" s="84">
        <v>280.00000000000023</v>
      </c>
      <c r="I15" s="84">
        <v>280.00000000000023</v>
      </c>
      <c r="J15" s="84">
        <v>280.00000000000023</v>
      </c>
      <c r="K15" s="84">
        <v>280.00000000000023</v>
      </c>
      <c r="L15" s="84">
        <v>280.00000000000023</v>
      </c>
    </row>
    <row r="16" spans="1:12" ht="18">
      <c r="A16" s="86" t="s">
        <v>6</v>
      </c>
      <c r="B16" s="85" t="s">
        <v>14</v>
      </c>
      <c r="C16" s="84">
        <v>0</v>
      </c>
      <c r="D16" s="84">
        <v>0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</row>
    <row r="17" spans="1:12" ht="18">
      <c r="A17" s="86" t="s">
        <v>9</v>
      </c>
      <c r="B17" s="85" t="s">
        <v>5</v>
      </c>
      <c r="C17" s="84">
        <v>0</v>
      </c>
      <c r="D17" s="84">
        <v>0</v>
      </c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4">
        <v>0</v>
      </c>
      <c r="K17" s="84">
        <v>0</v>
      </c>
      <c r="L17" s="84">
        <v>0</v>
      </c>
    </row>
    <row r="18" spans="1:12" ht="18">
      <c r="A18" s="86" t="s">
        <v>9</v>
      </c>
      <c r="B18" s="85" t="s">
        <v>6</v>
      </c>
      <c r="C18" s="84">
        <v>0</v>
      </c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</row>
    <row r="19" spans="1:12" ht="18">
      <c r="A19" s="86" t="s">
        <v>9</v>
      </c>
      <c r="B19" s="85" t="s">
        <v>10</v>
      </c>
      <c r="C19" s="84">
        <v>1100</v>
      </c>
      <c r="D19" s="84">
        <v>1100</v>
      </c>
      <c r="E19" s="84">
        <v>1100</v>
      </c>
      <c r="F19" s="84">
        <v>1100</v>
      </c>
      <c r="G19" s="84">
        <v>1100</v>
      </c>
      <c r="H19" s="84">
        <v>1100</v>
      </c>
      <c r="I19" s="84">
        <v>1100</v>
      </c>
      <c r="J19" s="84">
        <v>1100</v>
      </c>
      <c r="K19" s="84">
        <v>1100</v>
      </c>
      <c r="L19" s="84">
        <v>1100</v>
      </c>
    </row>
    <row r="20" spans="1:12" ht="18">
      <c r="A20" s="86" t="s">
        <v>9</v>
      </c>
      <c r="B20" s="85" t="s">
        <v>11</v>
      </c>
      <c r="C20" s="84">
        <v>0</v>
      </c>
      <c r="D20" s="84">
        <v>0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</row>
    <row r="21" spans="1:12" ht="18">
      <c r="A21" s="86" t="s">
        <v>9</v>
      </c>
      <c r="B21" s="85" t="s">
        <v>12</v>
      </c>
      <c r="C21" s="84">
        <v>2500</v>
      </c>
      <c r="D21" s="84">
        <v>2500</v>
      </c>
      <c r="E21" s="84">
        <v>2500</v>
      </c>
      <c r="F21" s="84">
        <v>2500</v>
      </c>
      <c r="G21" s="84">
        <v>2500</v>
      </c>
      <c r="H21" s="84">
        <v>2500</v>
      </c>
      <c r="I21" s="84">
        <v>2500</v>
      </c>
      <c r="J21" s="84">
        <v>2500</v>
      </c>
      <c r="K21" s="84">
        <v>2500</v>
      </c>
      <c r="L21" s="84">
        <v>2500</v>
      </c>
    </row>
    <row r="22" spans="1:12" ht="18">
      <c r="A22" s="86" t="s">
        <v>9</v>
      </c>
      <c r="B22" s="85" t="s">
        <v>13</v>
      </c>
      <c r="C22" s="84">
        <v>1000</v>
      </c>
      <c r="D22" s="84">
        <v>1000</v>
      </c>
      <c r="E22" s="84">
        <v>1000</v>
      </c>
      <c r="F22" s="84">
        <v>1000</v>
      </c>
      <c r="G22" s="84">
        <v>1000</v>
      </c>
      <c r="H22" s="84">
        <v>1000</v>
      </c>
      <c r="I22" s="84">
        <v>1000</v>
      </c>
      <c r="J22" s="84">
        <v>1000</v>
      </c>
      <c r="K22" s="84">
        <v>1000</v>
      </c>
      <c r="L22" s="84">
        <v>1000</v>
      </c>
    </row>
    <row r="23" spans="1:12" ht="18">
      <c r="A23" s="86" t="s">
        <v>9</v>
      </c>
      <c r="B23" s="85" t="s">
        <v>14</v>
      </c>
      <c r="C23" s="84">
        <v>1000</v>
      </c>
      <c r="D23" s="84">
        <v>1000</v>
      </c>
      <c r="E23" s="84">
        <v>1000</v>
      </c>
      <c r="F23" s="84">
        <v>1000</v>
      </c>
      <c r="G23" s="84">
        <v>1000</v>
      </c>
      <c r="H23" s="84">
        <v>1000</v>
      </c>
      <c r="I23" s="84">
        <v>1000</v>
      </c>
      <c r="J23" s="84">
        <v>1000</v>
      </c>
      <c r="K23" s="84">
        <v>1000</v>
      </c>
      <c r="L23" s="84">
        <v>1000</v>
      </c>
    </row>
    <row r="24" spans="1:12" ht="18">
      <c r="A24" s="86" t="s">
        <v>11</v>
      </c>
      <c r="B24" s="85" t="s">
        <v>10</v>
      </c>
      <c r="C24" s="84">
        <v>2200</v>
      </c>
      <c r="D24" s="84">
        <v>2200</v>
      </c>
      <c r="E24" s="84">
        <v>2200</v>
      </c>
      <c r="F24" s="84">
        <v>2200</v>
      </c>
      <c r="G24" s="84">
        <v>2200</v>
      </c>
      <c r="H24" s="84">
        <v>2200</v>
      </c>
      <c r="I24" s="84">
        <v>2200</v>
      </c>
      <c r="J24" s="84">
        <v>2200</v>
      </c>
      <c r="K24" s="84">
        <v>2200</v>
      </c>
      <c r="L24" s="84">
        <v>2200</v>
      </c>
    </row>
    <row r="25" spans="1:12" ht="18">
      <c r="A25" s="86" t="s">
        <v>11</v>
      </c>
      <c r="B25" s="85" t="s">
        <v>12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</row>
    <row r="26" spans="1:12" ht="18">
      <c r="A26" s="86" t="s">
        <v>11</v>
      </c>
      <c r="B26" s="85" t="s">
        <v>13</v>
      </c>
      <c r="C26" s="84">
        <v>0</v>
      </c>
      <c r="D26" s="84">
        <v>0</v>
      </c>
      <c r="E26" s="84">
        <v>0</v>
      </c>
      <c r="F26" s="84">
        <v>0</v>
      </c>
      <c r="G26" s="84">
        <v>0</v>
      </c>
      <c r="H26" s="84">
        <v>0</v>
      </c>
      <c r="I26" s="84">
        <v>0</v>
      </c>
      <c r="J26" s="84">
        <v>0</v>
      </c>
      <c r="K26" s="84">
        <v>0</v>
      </c>
      <c r="L26" s="84">
        <v>0</v>
      </c>
    </row>
    <row r="27" spans="1:12" ht="18">
      <c r="A27" s="86" t="s">
        <v>11</v>
      </c>
      <c r="B27" s="85" t="s">
        <v>14</v>
      </c>
      <c r="C27" s="84">
        <v>0</v>
      </c>
      <c r="D27" s="84">
        <v>0</v>
      </c>
      <c r="E27" s="84">
        <v>0</v>
      </c>
      <c r="F27" s="84">
        <v>0</v>
      </c>
      <c r="G27" s="84">
        <v>0</v>
      </c>
      <c r="H27" s="84">
        <v>0</v>
      </c>
      <c r="I27" s="84">
        <v>0</v>
      </c>
      <c r="J27" s="84">
        <v>0</v>
      </c>
      <c r="K27" s="84">
        <v>0</v>
      </c>
      <c r="L27" s="84">
        <v>0</v>
      </c>
    </row>
    <row r="28" spans="1:12" ht="18">
      <c r="A28" s="86" t="s">
        <v>12</v>
      </c>
      <c r="B28" s="85" t="s">
        <v>10</v>
      </c>
      <c r="C28" s="84">
        <v>3812</v>
      </c>
      <c r="D28" s="84">
        <v>2124</v>
      </c>
      <c r="E28" s="84">
        <v>436</v>
      </c>
      <c r="F28" s="84">
        <v>0</v>
      </c>
      <c r="G28" s="84">
        <v>0</v>
      </c>
      <c r="H28" s="84">
        <v>0</v>
      </c>
      <c r="I28" s="84">
        <v>0</v>
      </c>
      <c r="J28" s="84">
        <v>0</v>
      </c>
      <c r="K28" s="84">
        <v>0</v>
      </c>
      <c r="L28" s="84">
        <v>0</v>
      </c>
    </row>
    <row r="29" spans="1:12" ht="18">
      <c r="A29" s="86" t="s">
        <v>12</v>
      </c>
      <c r="B29" s="85" t="s">
        <v>32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</row>
    <row r="30" spans="1:12" ht="18">
      <c r="A30" s="86" t="s">
        <v>12</v>
      </c>
      <c r="B30" s="85" t="s">
        <v>13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  <c r="L30" s="84">
        <v>0</v>
      </c>
    </row>
    <row r="31" spans="1:12" ht="18">
      <c r="A31" s="86" t="s">
        <v>12</v>
      </c>
      <c r="B31" s="85" t="s">
        <v>14</v>
      </c>
      <c r="C31" s="84">
        <v>0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  <c r="K31" s="84">
        <v>0</v>
      </c>
      <c r="L31" s="84">
        <v>0</v>
      </c>
    </row>
    <row r="32" spans="1:12" ht="18">
      <c r="A32" s="86" t="s">
        <v>13</v>
      </c>
      <c r="B32" s="85" t="s">
        <v>10</v>
      </c>
      <c r="C32" s="84">
        <v>3280</v>
      </c>
      <c r="D32" s="84">
        <v>3280</v>
      </c>
      <c r="E32" s="84">
        <v>3280</v>
      </c>
      <c r="F32" s="84">
        <v>2028</v>
      </c>
      <c r="G32" s="84">
        <v>340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</row>
    <row r="33" spans="1:12" ht="18">
      <c r="A33" s="86" t="s">
        <v>13</v>
      </c>
      <c r="B33" s="85" t="s">
        <v>32</v>
      </c>
      <c r="C33" s="84">
        <v>0</v>
      </c>
      <c r="D33" s="84">
        <v>0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  <c r="K33" s="84">
        <v>0</v>
      </c>
      <c r="L33" s="84">
        <v>0</v>
      </c>
    </row>
    <row r="34" spans="1:12" ht="18">
      <c r="A34" s="86" t="s">
        <v>13</v>
      </c>
      <c r="B34" s="85" t="s">
        <v>12</v>
      </c>
      <c r="C34" s="84">
        <v>0</v>
      </c>
      <c r="D34" s="84">
        <v>0</v>
      </c>
      <c r="E34" s="84">
        <v>0</v>
      </c>
      <c r="F34" s="84">
        <v>1252</v>
      </c>
      <c r="G34" s="84">
        <v>2940</v>
      </c>
      <c r="H34" s="84">
        <v>3280</v>
      </c>
      <c r="I34" s="84">
        <v>3280</v>
      </c>
      <c r="J34" s="84">
        <v>3280</v>
      </c>
      <c r="K34" s="84">
        <v>3280</v>
      </c>
      <c r="L34" s="84">
        <v>3280</v>
      </c>
    </row>
    <row r="35" spans="1:12" ht="18">
      <c r="A35" s="86" t="s">
        <v>13</v>
      </c>
      <c r="B35" s="85" t="s">
        <v>14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</row>
    <row r="36" spans="1:12" ht="18">
      <c r="A36" s="86" t="s">
        <v>14</v>
      </c>
      <c r="B36" s="85" t="s">
        <v>10</v>
      </c>
      <c r="C36" s="84">
        <v>2600</v>
      </c>
      <c r="D36" s="84">
        <v>2600</v>
      </c>
      <c r="E36" s="84">
        <v>2600</v>
      </c>
      <c r="F36" s="84">
        <v>2600</v>
      </c>
      <c r="G36" s="84">
        <v>2600</v>
      </c>
      <c r="H36" s="84">
        <v>2600</v>
      </c>
      <c r="I36" s="84">
        <v>2600</v>
      </c>
      <c r="J36" s="84">
        <v>2600</v>
      </c>
      <c r="K36" s="84">
        <v>2600</v>
      </c>
      <c r="L36" s="84">
        <v>2600</v>
      </c>
    </row>
    <row r="37" spans="1:12" ht="18">
      <c r="A37" s="86" t="s">
        <v>14</v>
      </c>
      <c r="B37" s="85" t="s">
        <v>32</v>
      </c>
      <c r="C37" s="84">
        <v>0</v>
      </c>
      <c r="D37" s="84">
        <v>0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84">
        <v>0</v>
      </c>
      <c r="K37" s="84">
        <v>0</v>
      </c>
      <c r="L37" s="84">
        <v>0</v>
      </c>
    </row>
    <row r="38" spans="1:12" ht="18">
      <c r="A38" s="86" t="s">
        <v>14</v>
      </c>
      <c r="B38" s="85" t="s">
        <v>12</v>
      </c>
      <c r="C38" s="84">
        <v>0</v>
      </c>
      <c r="D38" s="84">
        <v>0</v>
      </c>
      <c r="E38" s="84">
        <v>0</v>
      </c>
      <c r="F38" s="84">
        <v>0</v>
      </c>
      <c r="G38" s="84">
        <v>0</v>
      </c>
      <c r="H38" s="84">
        <v>0</v>
      </c>
      <c r="I38" s="84">
        <v>0</v>
      </c>
      <c r="J38" s="84">
        <v>0</v>
      </c>
      <c r="K38" s="84">
        <v>0</v>
      </c>
      <c r="L38" s="84">
        <v>0</v>
      </c>
    </row>
    <row r="39" spans="1:12" ht="19" thickBot="1">
      <c r="A39" s="83" t="s">
        <v>14</v>
      </c>
      <c r="B39" s="83" t="s">
        <v>13</v>
      </c>
      <c r="C39" s="82">
        <v>0</v>
      </c>
      <c r="D39" s="82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>
        <v>0</v>
      </c>
      <c r="L39" s="82">
        <v>0</v>
      </c>
    </row>
    <row r="40" spans="1:12" ht="18">
      <c r="A40" s="81" t="s">
        <v>127</v>
      </c>
      <c r="B40" s="81"/>
      <c r="C40" s="80">
        <f>16880*0.1</f>
        <v>1688</v>
      </c>
      <c r="D40" s="80">
        <f>1688*2</f>
        <v>3376</v>
      </c>
      <c r="E40" s="80">
        <f>1688*3</f>
        <v>5064</v>
      </c>
      <c r="F40" s="80">
        <f>1688*4</f>
        <v>6752</v>
      </c>
      <c r="G40" s="80">
        <f>1688*5</f>
        <v>8440</v>
      </c>
      <c r="H40" s="80">
        <v>8780</v>
      </c>
      <c r="I40" s="80">
        <v>8780</v>
      </c>
      <c r="J40" s="80">
        <v>8780</v>
      </c>
      <c r="K40" s="80">
        <v>8780</v>
      </c>
      <c r="L40" s="80">
        <v>8780</v>
      </c>
    </row>
    <row r="41" spans="1:12" ht="19" thickBot="1">
      <c r="A41" s="79" t="s">
        <v>124</v>
      </c>
      <c r="B41" s="79"/>
      <c r="C41" s="78">
        <v>81.691999999999993</v>
      </c>
      <c r="D41" s="78">
        <v>80.003999999999991</v>
      </c>
      <c r="E41" s="78">
        <v>78.316000000000003</v>
      </c>
      <c r="F41" s="78">
        <v>77.254000000000005</v>
      </c>
      <c r="G41" s="78">
        <v>76.41</v>
      </c>
      <c r="H41" s="78">
        <v>76.239999999999995</v>
      </c>
      <c r="I41" s="78">
        <v>76.239999999999995</v>
      </c>
      <c r="J41" s="78">
        <v>76.239999999999995</v>
      </c>
      <c r="K41" s="78">
        <v>76.239999999999995</v>
      </c>
      <c r="L41" s="78">
        <v>76.239999999999995</v>
      </c>
    </row>
    <row r="47" spans="1:12">
      <c r="L47" s="77">
        <f>8780/16800</f>
        <v>0.52261904761904765</v>
      </c>
    </row>
  </sheetData>
  <mergeCells count="5">
    <mergeCell ref="A1:A2"/>
    <mergeCell ref="B1:B2"/>
    <mergeCell ref="A41:B41"/>
    <mergeCell ref="A40:B40"/>
    <mergeCell ref="C1:L1"/>
  </mergeCells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7"/>
  <sheetViews>
    <sheetView showGridLines="0" zoomScale="85" zoomScaleNormal="85" workbookViewId="0">
      <selection activeCell="Q13" sqref="Q13"/>
    </sheetView>
  </sheetViews>
  <sheetFormatPr baseColWidth="10" defaultColWidth="8.83203125" defaultRowHeight="14"/>
  <cols>
    <col min="1" max="1" width="2.33203125" style="1" customWidth="1"/>
    <col min="2" max="2" width="7.5" style="1" customWidth="1"/>
    <col min="3" max="3" width="18.83203125" style="1" customWidth="1"/>
    <col min="4" max="4" width="7.5" style="1" customWidth="1"/>
    <col min="5" max="5" width="8.5" style="1" customWidth="1"/>
    <col min="6" max="6" width="7.5" style="1" customWidth="1"/>
    <col min="7" max="8" width="13.1640625" style="1" customWidth="1"/>
    <col min="9" max="16384" width="8.83203125" style="1"/>
  </cols>
  <sheetData>
    <row r="1" spans="1:8">
      <c r="A1" s="2" t="s">
        <v>41</v>
      </c>
    </row>
    <row r="2" spans="1:8">
      <c r="A2" s="2" t="s">
        <v>42</v>
      </c>
    </row>
    <row r="3" spans="1:8">
      <c r="A3" s="2" t="s">
        <v>43</v>
      </c>
    </row>
    <row r="6" spans="1:8">
      <c r="A6" s="1" t="s">
        <v>44</v>
      </c>
    </row>
    <row r="7" spans="1:8">
      <c r="B7" s="3"/>
      <c r="C7" s="3"/>
      <c r="D7" s="3" t="s">
        <v>45</v>
      </c>
      <c r="E7" s="3" t="s">
        <v>46</v>
      </c>
      <c r="F7" s="3" t="s">
        <v>47</v>
      </c>
      <c r="G7" s="3" t="s">
        <v>48</v>
      </c>
      <c r="H7" s="3" t="s">
        <v>48</v>
      </c>
    </row>
    <row r="8" spans="1:8">
      <c r="B8" s="4" t="s">
        <v>49</v>
      </c>
      <c r="C8" s="4" t="s">
        <v>50</v>
      </c>
      <c r="D8" s="5" t="s">
        <v>51</v>
      </c>
      <c r="E8" s="5" t="s">
        <v>52</v>
      </c>
      <c r="F8" s="5" t="s">
        <v>53</v>
      </c>
      <c r="G8" s="5" t="s">
        <v>54</v>
      </c>
      <c r="H8" s="5" t="s">
        <v>55</v>
      </c>
    </row>
    <row r="9" spans="1:8">
      <c r="B9" s="6" t="s">
        <v>56</v>
      </c>
      <c r="C9" s="6" t="s">
        <v>57</v>
      </c>
      <c r="D9" s="6">
        <v>0</v>
      </c>
      <c r="E9" s="6">
        <v>7.4999999999999997E-3</v>
      </c>
      <c r="F9" s="6">
        <v>5.0000000000000001E-3</v>
      </c>
      <c r="G9" s="6">
        <v>1E+30</v>
      </c>
      <c r="H9" s="6">
        <v>7.4999999999999997E-3</v>
      </c>
    </row>
    <row r="10" spans="1:8">
      <c r="B10" s="6" t="s">
        <v>58</v>
      </c>
      <c r="C10" s="6" t="s">
        <v>59</v>
      </c>
      <c r="D10" s="6">
        <v>0</v>
      </c>
      <c r="E10" s="6">
        <v>6.0000000000000097E-3</v>
      </c>
      <c r="F10" s="6">
        <v>5.0000000000000001E-3</v>
      </c>
      <c r="G10" s="6">
        <v>1E+30</v>
      </c>
      <c r="H10" s="6">
        <v>6.0000000000000097E-3</v>
      </c>
    </row>
    <row r="11" spans="1:8">
      <c r="B11" s="7" t="s">
        <v>60</v>
      </c>
      <c r="C11" s="7" t="s">
        <v>61</v>
      </c>
      <c r="D11" s="7">
        <v>2000</v>
      </c>
      <c r="E11" s="7">
        <v>-2E-3</v>
      </c>
      <c r="F11" s="7">
        <v>4.0000000000000001E-3</v>
      </c>
      <c r="G11" s="7">
        <v>2E-3</v>
      </c>
      <c r="H11" s="7">
        <v>1E+30</v>
      </c>
    </row>
    <row r="12" spans="1:8">
      <c r="B12" s="6" t="s">
        <v>62</v>
      </c>
      <c r="C12" s="6" t="s">
        <v>63</v>
      </c>
      <c r="D12" s="6">
        <v>2000</v>
      </c>
      <c r="E12" s="6">
        <v>-1.5E-3</v>
      </c>
      <c r="F12" s="6">
        <v>4.0000000000000001E-3</v>
      </c>
      <c r="G12" s="6">
        <v>1.5E-3</v>
      </c>
      <c r="H12" s="6">
        <v>1E+30</v>
      </c>
    </row>
    <row r="13" spans="1:8">
      <c r="B13" s="6" t="s">
        <v>64</v>
      </c>
      <c r="C13" s="6" t="s">
        <v>65</v>
      </c>
      <c r="D13" s="6">
        <v>2000</v>
      </c>
      <c r="E13" s="6">
        <v>-1E-3</v>
      </c>
      <c r="F13" s="6">
        <v>4.0000000000000001E-3</v>
      </c>
      <c r="G13" s="6">
        <v>1E-3</v>
      </c>
      <c r="H13" s="6">
        <v>1E+30</v>
      </c>
    </row>
    <row r="14" spans="1:8">
      <c r="B14" s="6" t="s">
        <v>66</v>
      </c>
      <c r="C14" s="6" t="s">
        <v>67</v>
      </c>
      <c r="D14" s="6">
        <v>2000</v>
      </c>
      <c r="E14" s="6">
        <v>-2.5000000000000001E-3</v>
      </c>
      <c r="F14" s="6">
        <v>2.5000000000000001E-3</v>
      </c>
      <c r="G14" s="6">
        <v>2.5000000000000001E-3</v>
      </c>
      <c r="H14" s="6">
        <v>1E+30</v>
      </c>
    </row>
    <row r="15" spans="1:8">
      <c r="B15" s="6" t="s">
        <v>68</v>
      </c>
      <c r="C15" s="6" t="s">
        <v>69</v>
      </c>
      <c r="D15" s="6">
        <v>1600</v>
      </c>
      <c r="E15" s="6">
        <v>0</v>
      </c>
      <c r="F15" s="6">
        <v>5.0000000000000001E-3</v>
      </c>
      <c r="G15" s="6">
        <v>6.0000000000000097E-3</v>
      </c>
      <c r="H15" s="6">
        <v>1E-3</v>
      </c>
    </row>
    <row r="16" spans="1:8">
      <c r="B16" s="6" t="s">
        <v>70</v>
      </c>
      <c r="C16" s="6" t="s">
        <v>71</v>
      </c>
      <c r="D16" s="6">
        <v>0</v>
      </c>
      <c r="E16" s="6">
        <v>2.5000000000000001E-3</v>
      </c>
      <c r="F16" s="6">
        <v>5.0000000000000001E-3</v>
      </c>
      <c r="G16" s="6">
        <v>1E+30</v>
      </c>
      <c r="H16" s="6">
        <v>2.5000000000000001E-3</v>
      </c>
    </row>
    <row r="17" spans="2:8">
      <c r="B17" s="6" t="s">
        <v>72</v>
      </c>
      <c r="C17" s="6" t="s">
        <v>59</v>
      </c>
      <c r="D17" s="6">
        <v>0</v>
      </c>
      <c r="E17" s="6">
        <v>5.4999999999999997E-3</v>
      </c>
      <c r="F17" s="6">
        <v>7.0000000000000001E-3</v>
      </c>
      <c r="G17" s="6">
        <v>1E+30</v>
      </c>
      <c r="H17" s="6">
        <v>5.4999999999999997E-3</v>
      </c>
    </row>
    <row r="18" spans="2:8">
      <c r="B18" s="6" t="s">
        <v>73</v>
      </c>
      <c r="C18" s="6" t="s">
        <v>61</v>
      </c>
      <c r="D18" s="6">
        <v>200</v>
      </c>
      <c r="E18" s="6">
        <v>-3.5000000000000001E-3</v>
      </c>
      <c r="F18" s="6">
        <v>5.0000000000000001E-3</v>
      </c>
      <c r="G18" s="6">
        <v>3.5000000000000001E-3</v>
      </c>
      <c r="H18" s="6">
        <v>1E+30</v>
      </c>
    </row>
    <row r="19" spans="2:8">
      <c r="B19" s="6" t="s">
        <v>74</v>
      </c>
      <c r="C19" s="6" t="s">
        <v>63</v>
      </c>
      <c r="D19" s="6">
        <v>200</v>
      </c>
      <c r="E19" s="6">
        <v>-5.0000000000000001E-3</v>
      </c>
      <c r="F19" s="6">
        <v>3.0000000000000001E-3</v>
      </c>
      <c r="G19" s="6">
        <v>5.0000000000000001E-3</v>
      </c>
      <c r="H19" s="6">
        <v>1E+30</v>
      </c>
    </row>
    <row r="20" spans="2:8">
      <c r="B20" s="6" t="s">
        <v>75</v>
      </c>
      <c r="C20" s="6" t="s">
        <v>65</v>
      </c>
      <c r="D20" s="6">
        <v>1000</v>
      </c>
      <c r="E20" s="6">
        <v>-4.4999999999999997E-3</v>
      </c>
      <c r="F20" s="6">
        <v>3.0000000000000001E-3</v>
      </c>
      <c r="G20" s="6">
        <v>4.4999999999999997E-3</v>
      </c>
      <c r="H20" s="6">
        <v>1E+30</v>
      </c>
    </row>
    <row r="21" spans="2:8">
      <c r="B21" s="6" t="s">
        <v>76</v>
      </c>
      <c r="C21" s="6" t="s">
        <v>67</v>
      </c>
      <c r="D21" s="6">
        <v>280</v>
      </c>
      <c r="E21" s="6">
        <v>0</v>
      </c>
      <c r="F21" s="6">
        <v>7.4999999999999997E-3</v>
      </c>
      <c r="G21" s="6">
        <v>0</v>
      </c>
      <c r="H21" s="6">
        <v>3.5000000000000001E-3</v>
      </c>
    </row>
    <row r="22" spans="2:8">
      <c r="B22" s="6" t="s">
        <v>77</v>
      </c>
      <c r="C22" s="6" t="s">
        <v>69</v>
      </c>
      <c r="D22" s="6">
        <v>0</v>
      </c>
      <c r="E22" s="6">
        <v>0</v>
      </c>
      <c r="F22" s="6">
        <v>7.4999999999999997E-3</v>
      </c>
      <c r="G22" s="6">
        <v>1E+30</v>
      </c>
      <c r="H22" s="6">
        <v>0</v>
      </c>
    </row>
    <row r="23" spans="2:8">
      <c r="B23" s="6" t="s">
        <v>78</v>
      </c>
      <c r="C23" s="6" t="s">
        <v>71</v>
      </c>
      <c r="D23" s="6">
        <v>0</v>
      </c>
      <c r="E23" s="6">
        <v>4.0000000000000001E-3</v>
      </c>
      <c r="F23" s="6">
        <v>5.0000000000000001E-3</v>
      </c>
      <c r="G23" s="6">
        <v>1E+30</v>
      </c>
      <c r="H23" s="6">
        <v>4.0000000000000001E-3</v>
      </c>
    </row>
    <row r="24" spans="2:8">
      <c r="B24" s="6" t="s">
        <v>79</v>
      </c>
      <c r="C24" s="6" t="s">
        <v>57</v>
      </c>
      <c r="D24" s="6">
        <v>0</v>
      </c>
      <c r="E24" s="6">
        <v>8.5000000000000006E-3</v>
      </c>
      <c r="F24" s="6">
        <v>7.0000000000000097E-3</v>
      </c>
      <c r="G24" s="6">
        <v>1E+30</v>
      </c>
      <c r="H24" s="6">
        <v>8.5000000000000006E-3</v>
      </c>
    </row>
    <row r="25" spans="2:8">
      <c r="B25" s="6" t="s">
        <v>80</v>
      </c>
      <c r="C25" s="6" t="s">
        <v>61</v>
      </c>
      <c r="D25" s="6">
        <v>1100</v>
      </c>
      <c r="E25" s="6">
        <v>0</v>
      </c>
      <c r="F25" s="6">
        <v>7.0000000000000097E-3</v>
      </c>
      <c r="G25" s="6">
        <v>5.0000000000000001E-4</v>
      </c>
      <c r="H25" s="6">
        <v>1E-3</v>
      </c>
    </row>
    <row r="26" spans="2:8">
      <c r="B26" s="6" t="s">
        <v>81</v>
      </c>
      <c r="C26" s="6" t="s">
        <v>63</v>
      </c>
      <c r="D26" s="6">
        <v>0</v>
      </c>
      <c r="E26" s="6">
        <v>5.0000000000000001E-4</v>
      </c>
      <c r="F26" s="6">
        <v>7.0000000000000097E-3</v>
      </c>
      <c r="G26" s="6">
        <v>1E+30</v>
      </c>
      <c r="H26" s="6">
        <v>5.0000000000000001E-4</v>
      </c>
    </row>
    <row r="27" spans="2:8">
      <c r="B27" s="6" t="s">
        <v>82</v>
      </c>
      <c r="C27" s="6" t="s">
        <v>65</v>
      </c>
      <c r="D27" s="6">
        <v>2500</v>
      </c>
      <c r="E27" s="6">
        <v>-2E-3</v>
      </c>
      <c r="F27" s="6">
        <v>4.0000000000000001E-3</v>
      </c>
      <c r="G27" s="6">
        <v>2E-3</v>
      </c>
      <c r="H27" s="6">
        <v>1E+30</v>
      </c>
    </row>
    <row r="28" spans="2:8">
      <c r="B28" s="6" t="s">
        <v>83</v>
      </c>
      <c r="C28" s="6" t="s">
        <v>67</v>
      </c>
      <c r="D28" s="6">
        <v>1000</v>
      </c>
      <c r="E28" s="6">
        <v>-1.5E-3</v>
      </c>
      <c r="F28" s="6">
        <v>4.4999999999999997E-3</v>
      </c>
      <c r="G28" s="6">
        <v>1.5E-3</v>
      </c>
      <c r="H28" s="6">
        <v>1E+30</v>
      </c>
    </row>
    <row r="29" spans="2:8">
      <c r="B29" s="6" t="s">
        <v>84</v>
      </c>
      <c r="C29" s="6" t="s">
        <v>69</v>
      </c>
      <c r="D29" s="6">
        <v>1000</v>
      </c>
      <c r="E29" s="6">
        <v>-1E-3</v>
      </c>
      <c r="F29" s="6">
        <v>5.0000000000000001E-3</v>
      </c>
      <c r="G29" s="6">
        <v>1E-3</v>
      </c>
      <c r="H29" s="6">
        <v>1E+30</v>
      </c>
    </row>
    <row r="30" spans="2:8">
      <c r="B30" s="6" t="s">
        <v>85</v>
      </c>
      <c r="C30" s="6" t="s">
        <v>61</v>
      </c>
      <c r="D30" s="6">
        <v>2200</v>
      </c>
      <c r="E30" s="6">
        <v>0</v>
      </c>
      <c r="F30" s="6">
        <v>5.0000000000000001E-4</v>
      </c>
      <c r="G30" s="6">
        <v>1.5E-3</v>
      </c>
      <c r="H30" s="6">
        <v>5.0000000000000001E-4</v>
      </c>
    </row>
    <row r="31" spans="2:8">
      <c r="B31" s="8" t="s">
        <v>86</v>
      </c>
      <c r="C31" s="8" t="s">
        <v>65</v>
      </c>
      <c r="D31" s="8">
        <v>0</v>
      </c>
      <c r="E31" s="8">
        <v>2.5000000000000001E-3</v>
      </c>
      <c r="F31" s="8">
        <v>2E-3</v>
      </c>
      <c r="G31" s="8">
        <v>1E+30</v>
      </c>
      <c r="H31" s="8">
        <v>2.5000000000000001E-3</v>
      </c>
    </row>
    <row r="32" spans="2:8">
      <c r="B32" s="6" t="s">
        <v>87</v>
      </c>
      <c r="C32" s="6" t="s">
        <v>67</v>
      </c>
      <c r="D32" s="6">
        <v>0</v>
      </c>
      <c r="E32" s="6">
        <v>1.5E-3</v>
      </c>
      <c r="F32" s="6">
        <v>1E-3</v>
      </c>
      <c r="G32" s="6">
        <v>1E+30</v>
      </c>
      <c r="H32" s="6">
        <v>1.5E-3</v>
      </c>
    </row>
    <row r="33" spans="1:8">
      <c r="B33" s="6" t="s">
        <v>88</v>
      </c>
      <c r="C33" s="6" t="s">
        <v>69</v>
      </c>
      <c r="D33" s="6">
        <v>0</v>
      </c>
      <c r="E33" s="6">
        <v>1.5E-3</v>
      </c>
      <c r="F33" s="6">
        <v>1E-3</v>
      </c>
      <c r="G33" s="6">
        <v>1E+30</v>
      </c>
      <c r="H33" s="6">
        <v>1.5E-3</v>
      </c>
    </row>
    <row r="34" spans="1:8">
      <c r="B34" s="9" t="s">
        <v>89</v>
      </c>
      <c r="C34" s="9" t="s">
        <v>61</v>
      </c>
      <c r="D34" s="9">
        <v>5500</v>
      </c>
      <c r="E34" s="9">
        <v>0</v>
      </c>
      <c r="F34" s="9">
        <v>1E-3</v>
      </c>
      <c r="G34" s="9">
        <v>5.0000000000000001E-4</v>
      </c>
      <c r="H34" s="9">
        <v>5.0000000000000001E-4</v>
      </c>
    </row>
    <row r="35" spans="1:8">
      <c r="B35" s="8" t="s">
        <v>90</v>
      </c>
      <c r="C35" s="8" t="s">
        <v>63</v>
      </c>
      <c r="D35" s="8">
        <v>0</v>
      </c>
      <c r="E35" s="8">
        <v>1.5E-3</v>
      </c>
      <c r="F35" s="8">
        <v>2E-3</v>
      </c>
      <c r="G35" s="8">
        <v>1E+30</v>
      </c>
      <c r="H35" s="8">
        <v>1.5E-3</v>
      </c>
    </row>
    <row r="36" spans="1:8">
      <c r="B36" s="6" t="s">
        <v>91</v>
      </c>
      <c r="C36" s="6" t="s">
        <v>67</v>
      </c>
      <c r="D36" s="6">
        <v>0</v>
      </c>
      <c r="E36" s="6">
        <v>5.0000000000000001E-4</v>
      </c>
      <c r="F36" s="6">
        <v>5.0000000000000001E-4</v>
      </c>
      <c r="G36" s="6">
        <v>1E+30</v>
      </c>
      <c r="H36" s="6">
        <v>5.0000000000000001E-4</v>
      </c>
    </row>
    <row r="37" spans="1:8">
      <c r="B37" s="6" t="s">
        <v>92</v>
      </c>
      <c r="C37" s="6" t="s">
        <v>69</v>
      </c>
      <c r="D37" s="6">
        <v>0</v>
      </c>
      <c r="E37" s="6">
        <v>5.0000000000000001E-3</v>
      </c>
      <c r="F37" s="6">
        <v>5.0000000000000001E-3</v>
      </c>
      <c r="G37" s="6">
        <v>1E+30</v>
      </c>
      <c r="H37" s="6">
        <v>5.0000000000000001E-3</v>
      </c>
    </row>
    <row r="38" spans="1:8">
      <c r="B38" s="6" t="s">
        <v>93</v>
      </c>
      <c r="C38" s="6" t="s">
        <v>61</v>
      </c>
      <c r="D38" s="6">
        <v>3280</v>
      </c>
      <c r="E38" s="6">
        <v>0</v>
      </c>
      <c r="F38" s="6">
        <v>1E-3</v>
      </c>
      <c r="G38" s="6">
        <v>0</v>
      </c>
      <c r="H38" s="6">
        <v>5.0000000000000001E-4</v>
      </c>
    </row>
    <row r="39" spans="1:8">
      <c r="B39" s="6" t="s">
        <v>94</v>
      </c>
      <c r="C39" s="6" t="s">
        <v>63</v>
      </c>
      <c r="D39" s="6">
        <v>0</v>
      </c>
      <c r="E39" s="6">
        <v>5.0000000000000001E-4</v>
      </c>
      <c r="F39" s="6">
        <v>1E-3</v>
      </c>
      <c r="G39" s="6">
        <v>1E+30</v>
      </c>
      <c r="H39" s="6">
        <v>5.0000000000000001E-4</v>
      </c>
    </row>
    <row r="40" spans="1:8">
      <c r="B40" s="6" t="s">
        <v>95</v>
      </c>
      <c r="C40" s="6" t="s">
        <v>65</v>
      </c>
      <c r="D40" s="6">
        <v>0</v>
      </c>
      <c r="E40" s="6">
        <v>5.0000000000000001E-4</v>
      </c>
      <c r="F40" s="6">
        <v>5.0000000000000001E-4</v>
      </c>
      <c r="G40" s="6">
        <v>1E+30</v>
      </c>
      <c r="H40" s="6">
        <v>5.0000000000000001E-4</v>
      </c>
    </row>
    <row r="41" spans="1:8">
      <c r="B41" s="6" t="s">
        <v>96</v>
      </c>
      <c r="C41" s="6" t="s">
        <v>69</v>
      </c>
      <c r="D41" s="6">
        <v>0</v>
      </c>
      <c r="E41" s="6">
        <v>5.0000000000000001E-3</v>
      </c>
      <c r="F41" s="6">
        <v>5.0000000000000001E-3</v>
      </c>
      <c r="G41" s="6">
        <v>1E+30</v>
      </c>
      <c r="H41" s="6">
        <v>5.0000000000000001E-3</v>
      </c>
    </row>
    <row r="42" spans="1:8">
      <c r="B42" s="6" t="s">
        <v>97</v>
      </c>
      <c r="C42" s="6" t="s">
        <v>61</v>
      </c>
      <c r="D42" s="6">
        <v>2600</v>
      </c>
      <c r="E42" s="6">
        <v>0</v>
      </c>
      <c r="F42" s="6">
        <v>1E-3</v>
      </c>
      <c r="G42" s="6">
        <v>5.0000000000000001E-4</v>
      </c>
      <c r="H42" s="6">
        <v>0</v>
      </c>
    </row>
    <row r="43" spans="1:8">
      <c r="B43" s="6" t="s">
        <v>98</v>
      </c>
      <c r="C43" s="6">
        <v>2</v>
      </c>
      <c r="D43" s="6">
        <v>0</v>
      </c>
      <c r="E43" s="6">
        <v>5.0000000000000001E-4</v>
      </c>
      <c r="F43" s="6">
        <v>1E-3</v>
      </c>
      <c r="G43" s="6">
        <v>1E+30</v>
      </c>
      <c r="H43" s="6">
        <v>5.0000000000000001E-4</v>
      </c>
    </row>
    <row r="44" spans="1:8">
      <c r="B44" s="6" t="s">
        <v>99</v>
      </c>
      <c r="C44" s="6" t="s">
        <v>65</v>
      </c>
      <c r="D44" s="6">
        <v>0</v>
      </c>
      <c r="E44" s="6">
        <v>5.0000000000000001E-3</v>
      </c>
      <c r="F44" s="6">
        <v>5.0000000000000001E-3</v>
      </c>
      <c r="G44" s="6">
        <v>1E+30</v>
      </c>
      <c r="H44" s="6">
        <v>5.0000000000000001E-3</v>
      </c>
    </row>
    <row r="45" spans="1:8">
      <c r="B45" s="10" t="s">
        <v>100</v>
      </c>
      <c r="C45" s="10" t="s">
        <v>67</v>
      </c>
      <c r="D45" s="10">
        <v>0</v>
      </c>
      <c r="E45" s="10">
        <v>5.0000000000000001E-3</v>
      </c>
      <c r="F45" s="10">
        <v>5.0000000000000001E-3</v>
      </c>
      <c r="G45" s="10">
        <v>1E+30</v>
      </c>
      <c r="H45" s="10">
        <v>5.0000000000000001E-3</v>
      </c>
    </row>
    <row r="47" spans="1:8">
      <c r="A47" s="1" t="s">
        <v>101</v>
      </c>
    </row>
    <row r="48" spans="1:8">
      <c r="B48" s="3"/>
      <c r="C48" s="3"/>
      <c r="D48" s="3" t="s">
        <v>45</v>
      </c>
      <c r="E48" s="3" t="s">
        <v>102</v>
      </c>
      <c r="F48" s="3" t="s">
        <v>101</v>
      </c>
      <c r="G48" s="3" t="s">
        <v>48</v>
      </c>
      <c r="H48" s="3" t="s">
        <v>48</v>
      </c>
    </row>
    <row r="49" spans="2:8">
      <c r="B49" s="4" t="s">
        <v>49</v>
      </c>
      <c r="C49" s="4" t="s">
        <v>50</v>
      </c>
      <c r="D49" s="5" t="s">
        <v>51</v>
      </c>
      <c r="E49" s="5" t="s">
        <v>103</v>
      </c>
      <c r="F49" s="5" t="s">
        <v>104</v>
      </c>
      <c r="G49" s="5" t="s">
        <v>54</v>
      </c>
      <c r="H49" s="5" t="s">
        <v>55</v>
      </c>
    </row>
    <row r="50" spans="2:8">
      <c r="B50" s="6" t="s">
        <v>105</v>
      </c>
      <c r="C50" s="6" t="s">
        <v>106</v>
      </c>
      <c r="D50" s="6">
        <v>9600</v>
      </c>
      <c r="E50" s="6">
        <v>-1E-3</v>
      </c>
      <c r="F50" s="11">
        <v>9600</v>
      </c>
      <c r="G50" s="6">
        <v>1100</v>
      </c>
      <c r="H50" s="6">
        <v>2.2737367544323201E-13</v>
      </c>
    </row>
    <row r="51" spans="2:8">
      <c r="B51" s="6" t="s">
        <v>107</v>
      </c>
      <c r="C51" s="6" t="s">
        <v>108</v>
      </c>
      <c r="D51" s="6">
        <v>1680</v>
      </c>
      <c r="E51" s="6">
        <v>1.4999999999999901E-3</v>
      </c>
      <c r="F51" s="6">
        <v>1680</v>
      </c>
      <c r="G51" s="6">
        <v>220</v>
      </c>
      <c r="H51" s="6">
        <v>2.2737367544323201E-13</v>
      </c>
    </row>
    <row r="52" spans="2:8">
      <c r="B52" s="6" t="s">
        <v>109</v>
      </c>
      <c r="C52" s="6" t="s">
        <v>110</v>
      </c>
      <c r="D52" s="6">
        <v>5600</v>
      </c>
      <c r="E52" s="6">
        <v>0</v>
      </c>
      <c r="F52" s="6">
        <v>5600</v>
      </c>
      <c r="G52" s="6">
        <v>2.2737367544323201E-13</v>
      </c>
      <c r="H52" s="6">
        <v>1E+30</v>
      </c>
    </row>
    <row r="53" spans="2:8">
      <c r="B53" s="6" t="s">
        <v>111</v>
      </c>
      <c r="C53" s="6" t="s">
        <v>112</v>
      </c>
      <c r="D53" s="6">
        <v>0</v>
      </c>
      <c r="E53" s="6">
        <v>-6.5000000000000101E-3</v>
      </c>
      <c r="F53" s="6">
        <v>0</v>
      </c>
      <c r="G53" s="6">
        <v>1100</v>
      </c>
      <c r="H53" s="6">
        <v>2.2737367544323201E-13</v>
      </c>
    </row>
    <row r="54" spans="2:8">
      <c r="B54" s="6" t="s">
        <v>113</v>
      </c>
      <c r="C54" s="6" t="s">
        <v>114</v>
      </c>
      <c r="D54" s="6">
        <v>0</v>
      </c>
      <c r="E54" s="6">
        <v>-6.0000000000000097E-3</v>
      </c>
      <c r="F54" s="6">
        <v>0</v>
      </c>
      <c r="G54" s="6">
        <v>1100</v>
      </c>
      <c r="H54" s="6">
        <v>2.2737367544323201E-13</v>
      </c>
    </row>
    <row r="55" spans="2:8">
      <c r="B55" s="6" t="s">
        <v>115</v>
      </c>
      <c r="C55" s="6" t="s">
        <v>116</v>
      </c>
      <c r="D55" s="6">
        <v>0</v>
      </c>
      <c r="E55" s="6">
        <v>-6.0000000000000097E-3</v>
      </c>
      <c r="F55" s="6">
        <v>0</v>
      </c>
      <c r="G55" s="6">
        <v>1100</v>
      </c>
      <c r="H55" s="6">
        <v>2.2737367544323201E-13</v>
      </c>
    </row>
    <row r="56" spans="2:8">
      <c r="B56" s="6" t="s">
        <v>117</v>
      </c>
      <c r="C56" s="6" t="s">
        <v>118</v>
      </c>
      <c r="D56" s="6">
        <v>0</v>
      </c>
      <c r="E56" s="6">
        <v>-6.0000000000000097E-3</v>
      </c>
      <c r="F56" s="6">
        <v>0</v>
      </c>
      <c r="G56" s="6">
        <v>1100</v>
      </c>
      <c r="H56" s="6">
        <v>2.2737367544323201E-13</v>
      </c>
    </row>
    <row r="57" spans="2:8">
      <c r="B57" s="10" t="s">
        <v>119</v>
      </c>
      <c r="C57" s="10" t="s">
        <v>120</v>
      </c>
      <c r="D57" s="10">
        <v>-16880</v>
      </c>
      <c r="E57" s="10">
        <v>-7.0000000000000097E-3</v>
      </c>
      <c r="F57" s="10">
        <v>-16880</v>
      </c>
      <c r="G57" s="10">
        <v>1100</v>
      </c>
      <c r="H57" s="10">
        <v>2.2737367544323201E-13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7.2b</vt:lpstr>
      <vt:lpstr>7.2c</vt:lpstr>
      <vt:lpstr>7.2d(1)</vt:lpstr>
      <vt:lpstr>7.2d(2)</vt:lpstr>
      <vt:lpstr>7.2e-交易限制</vt:lpstr>
      <vt:lpstr>7.2e-资本流出限制</vt:lpstr>
      <vt:lpstr>7.2-交易成本变动</vt:lpstr>
      <vt:lpstr>7.2-兑换货币种类</vt:lpstr>
      <vt:lpstr>敏感性报告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Rui Zhou</cp:lastModifiedBy>
  <dcterms:created xsi:type="dcterms:W3CDTF">2023-05-12T11:15:00Z</dcterms:created>
  <dcterms:modified xsi:type="dcterms:W3CDTF">2023-11-18T04:03:31Z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466ECC39C5B8492DBE03EA6FD9D9F34D_13</vt:lpwstr>
  </property>
  <property fmtid="{D5CDD505-2E9C-101B-9397-08002B2CF9AE}" pid="3" name="KSOProductBuildVer">
    <vt:lpwstr>2052-12.1.0.15712</vt:lpwstr>
  </property>
</Properties>
</file>